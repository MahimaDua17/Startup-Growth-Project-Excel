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mahim\Downloads\"/>
    </mc:Choice>
  </mc:AlternateContent>
  <xr:revisionPtr revIDLastSave="0" documentId="13_ncr:1_{4578829B-37C4-4CB0-8BB8-DA4D87F78D98}" xr6:coauthVersionLast="47" xr6:coauthVersionMax="47" xr10:uidLastSave="{00000000-0000-0000-0000-000000000000}"/>
  <bookViews>
    <workbookView xWindow="-110" yWindow="-110" windowWidth="19420" windowHeight="10300" xr2:uid="{C78AEB03-AC19-481D-96B6-DE503106D6F8}"/>
  </bookViews>
  <sheets>
    <sheet name="Dashboard" sheetId="5" r:id="rId1"/>
    <sheet name="Slicer" sheetId="7" r:id="rId2"/>
    <sheet name="Jobs_industrywise" sheetId="4" r:id="rId3"/>
    <sheet name="jobs_by_industry" sheetId="3" r:id="rId4"/>
    <sheet name="jobs_stateswise" sheetId="8" r:id="rId5"/>
    <sheet name="jobs_by_states" sheetId="2" r:id="rId6"/>
    <sheet name="startups" sheetId="9" r:id="rId7"/>
    <sheet name="startup_by_states" sheetId="1" r:id="rId8"/>
  </sheets>
  <definedNames>
    <definedName name="Slicer_States_Uts">#N/A</definedName>
  </definedNames>
  <calcPr calcId="191029"/>
  <pivotCaches>
    <pivotCache cacheId="0" r:id="rId9"/>
    <pivotCache cacheId="3" r:id="rId10"/>
    <pivotCache cacheId="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0" i="1" l="1"/>
  <c r="G38" i="2"/>
  <c r="G31" i="2"/>
  <c r="G16" i="2"/>
  <c r="G33" i="2"/>
  <c r="G19" i="2"/>
  <c r="G14" i="2"/>
  <c r="G23" i="2"/>
  <c r="G18" i="2"/>
  <c r="G29" i="2"/>
  <c r="G4" i="2"/>
  <c r="G25" i="2"/>
  <c r="G5" i="2"/>
  <c r="G8" i="2"/>
  <c r="G24" i="2"/>
  <c r="G22" i="2"/>
  <c r="G20" i="2"/>
  <c r="G3" i="2"/>
  <c r="G10" i="2"/>
  <c r="G36" i="2"/>
  <c r="G37" i="2"/>
  <c r="G12" i="2"/>
  <c r="G2" i="2"/>
  <c r="G28" i="2"/>
  <c r="G32" i="2"/>
  <c r="G34" i="2"/>
  <c r="G30" i="2"/>
  <c r="G15" i="2"/>
  <c r="G27" i="2"/>
  <c r="G17" i="2"/>
  <c r="G11" i="2"/>
  <c r="G35" i="2"/>
  <c r="G7" i="2"/>
  <c r="G9" i="2"/>
  <c r="G26" i="2"/>
  <c r="G6" i="2"/>
  <c r="G21" i="2"/>
  <c r="G13" i="2"/>
  <c r="G2" i="1"/>
  <c r="G38"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G29" i="1"/>
  <c r="G16" i="1"/>
  <c r="G33" i="1"/>
  <c r="G19" i="1"/>
  <c r="G14" i="1"/>
  <c r="G25" i="1"/>
  <c r="G18" i="1"/>
  <c r="G30" i="1"/>
  <c r="G4" i="1"/>
  <c r="G24" i="1"/>
  <c r="G6" i="1"/>
  <c r="G8" i="1"/>
  <c r="G23" i="1"/>
  <c r="G22" i="1"/>
  <c r="G20" i="1"/>
  <c r="G3" i="1"/>
  <c r="G10" i="1"/>
  <c r="G36" i="1"/>
  <c r="G37" i="1"/>
  <c r="G13" i="1"/>
  <c r="G27" i="1"/>
  <c r="G32" i="1"/>
  <c r="G34" i="1"/>
  <c r="G31" i="1"/>
  <c r="G15" i="1"/>
  <c r="G26" i="1"/>
  <c r="G17" i="1"/>
  <c r="G11" i="1"/>
  <c r="G35" i="1"/>
  <c r="G7" i="1"/>
  <c r="G9" i="1"/>
  <c r="G28" i="1"/>
  <c r="G5" i="1"/>
  <c r="G21" i="1"/>
  <c r="G12" i="1"/>
</calcChain>
</file>

<file path=xl/sharedStrings.xml><?xml version="1.0" encoding="utf-8"?>
<sst xmlns="http://schemas.openxmlformats.org/spreadsheetml/2006/main" count="239" uniqueCount="113">
  <si>
    <t>Andaman and Nicobar Islands</t>
  </si>
  <si>
    <t>Andhra Pradesh</t>
  </si>
  <si>
    <t>Arunachal Pradesh</t>
  </si>
  <si>
    <t>NA</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</si>
  <si>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</si>
  <si>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</si>
  <si>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</si>
  <si>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</si>
  <si>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</si>
  <si>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</si>
  <si>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</si>
  <si>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</si>
  <si>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</si>
  <si>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</si>
  <si>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</si>
  <si>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</si>
  <si>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</si>
  <si>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</si>
  <si>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</si>
  <si>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</si>
  <si>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</si>
  <si>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</si>
  <si>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</si>
  <si>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</si>
  <si>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</si>
  <si>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</si>
  <si>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</si>
  <si>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</si>
  <si>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</si>
  <si>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</si>
  <si>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</si>
  <si>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</si>
  <si>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</si>
  <si>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</si>
  <si>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</si>
  <si>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</si>
  <si>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</si>
  <si>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States/Uts</t>
  </si>
  <si>
    <t>2019</t>
  </si>
  <si>
    <t>2020</t>
  </si>
  <si>
    <t>2021</t>
  </si>
  <si>
    <t>2022</t>
  </si>
  <si>
    <t>2023</t>
  </si>
  <si>
    <t>Grand Total</t>
  </si>
  <si>
    <t>Industry</t>
  </si>
  <si>
    <t>Number of Direct Jobs</t>
  </si>
  <si>
    <t>Advertising</t>
  </si>
  <si>
    <t>Aeronautics Aerospace and Defence</t>
  </si>
  <si>
    <t>Agriculture</t>
  </si>
  <si>
    <t>Artificial Intelligence (AI)</t>
  </si>
  <si>
    <t>Airport Operations</t>
  </si>
  <si>
    <t>Analytics</t>
  </si>
  <si>
    <t>Animation</t>
  </si>
  <si>
    <t>AR VR (Augmented + Virtual Reality)</t>
  </si>
  <si>
    <t>Architecture Interior Design</t>
  </si>
  <si>
    <t>Art and Photography</t>
  </si>
  <si>
    <t>Automotive</t>
  </si>
  <si>
    <t>Biotechnology</t>
  </si>
  <si>
    <t>Chemicals</t>
  </si>
  <si>
    <t>Computer Vision</t>
  </si>
  <si>
    <t>Construction</t>
  </si>
  <si>
    <t>Dating Matrimonial</t>
  </si>
  <si>
    <t>Design</t>
  </si>
  <si>
    <t>Education</t>
  </si>
  <si>
    <t>Enterprise Software</t>
  </si>
  <si>
    <t>Events</t>
  </si>
  <si>
    <t>Fashion</t>
  </si>
  <si>
    <t>Finance Technology</t>
  </si>
  <si>
    <t>Food and Beverages</t>
  </si>
  <si>
    <t>Green Technology</t>
  </si>
  <si>
    <t>Healthcare and Lifesciences</t>
  </si>
  <si>
    <t>House-Hold Services</t>
  </si>
  <si>
    <t>Human Resources</t>
  </si>
  <si>
    <t>Indic Language Startups</t>
  </si>
  <si>
    <t>Internet of Things</t>
  </si>
  <si>
    <t>IT Services</t>
  </si>
  <si>
    <t>Logistics</t>
  </si>
  <si>
    <t>Marketing</t>
  </si>
  <si>
    <t>Media and Entertainment</t>
  </si>
  <si>
    <t>Nanotechnology</t>
  </si>
  <si>
    <t>Non- Renewable Energy</t>
  </si>
  <si>
    <t>Other Specialty Retailers</t>
  </si>
  <si>
    <t>Others</t>
  </si>
  <si>
    <t>Passenger Experience</t>
  </si>
  <si>
    <t>Pets and Animals</t>
  </si>
  <si>
    <t>Professional and Commercial Services</t>
  </si>
  <si>
    <t>Real Estate</t>
  </si>
  <si>
    <t>Renewable Energy</t>
  </si>
  <si>
    <t>Retail</t>
  </si>
  <si>
    <t>Robotics</t>
  </si>
  <si>
    <t>Safety</t>
  </si>
  <si>
    <t>Security Solutions</t>
  </si>
  <si>
    <t>Social Impact</t>
  </si>
  <si>
    <t>Social Network</t>
  </si>
  <si>
    <t>Sports</t>
  </si>
  <si>
    <t>Technology Hardware</t>
  </si>
  <si>
    <t>Telecommunication and Networking</t>
  </si>
  <si>
    <t>Textiles and Apparel</t>
  </si>
  <si>
    <t>Toys and Games</t>
  </si>
  <si>
    <t>Transportation and Storage</t>
  </si>
  <si>
    <t>Travel and Tourism</t>
  </si>
  <si>
    <t>Waste Management</t>
  </si>
  <si>
    <t>Row Labels</t>
  </si>
  <si>
    <t>Sum of Number of Direct Jobs</t>
  </si>
  <si>
    <t>Total Startups</t>
  </si>
  <si>
    <t>Average startups</t>
  </si>
  <si>
    <t>SUM of Jobs</t>
  </si>
  <si>
    <t>Average Startup per state</t>
  </si>
  <si>
    <t>Sum of 2023</t>
  </si>
  <si>
    <t>Sum of 2020</t>
  </si>
  <si>
    <t>Sum of 2021</t>
  </si>
  <si>
    <t>Sum of 2022</t>
  </si>
  <si>
    <t>Sum of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</si>
</sst>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0">
    <dxf>
      <font>
        <b/>
        <i val="0"/>
        <sz val="10"/>
        <color theme="1"/>
        <name val="Calibri Light"/>
        <family val="2"/>
        <scheme val="major"/>
      </font>
      <border>
        <left style="thin">
          <color theme="1"/>
        </left>
        <right style="thin">
          <color theme="1"/>
        </right>
        <top style="thin">
          <color theme="1"/>
        </top>
        <bottom style="thin">
          <color theme="1"/>
        </bottom>
      </border>
    </dxf>
    <dxf>
      <font>
        <b/>
        <i val="0"/>
        <sz val="10"/>
        <name val="Calibri Light"/>
        <family val="2"/>
        <scheme val="major"/>
      </font>
      <fill>
        <patternFill>
          <bgColor rgb="FFD9C0F2"/>
        </patternFill>
      </fill>
      <border>
        <left style="thin">
          <color auto="1"/>
        </left>
        <right style="thin">
          <color auto="1"/>
        </right>
        <top style="thin">
          <color auto="1"/>
        </top>
        <bottom style="thin">
          <color auto="1"/>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2" defaultTableStyle="TableStyleMedium2" defaultPivotStyle="PivotStyleLight16">
    <tableStyle name="Slicer Style 1" pivot="0" table="0" count="1" xr9:uid="{F8B5CC5A-BEA9-4F16-9636-A65546464895}"/>
    <tableStyle name="Slicer Style 2" pivot="0" table="0" count="9" xr9:uid="{64290342-31B4-4965-B129-178C4BFA110A}">
      <tableStyleElement type="wholeTable" dxfId="1"/>
      <tableStyleElement type="headerRow" dxfId="0"/>
    </tableStyle>
  </tableStyles>
  <colors>
    <mruColors>
      <color rgb="FFD9C0F2"/>
      <color rgb="FF672362"/>
      <color rgb="FFFFFFFF"/>
      <color rgb="FFDF90F8"/>
      <color rgb="FFEA64E0"/>
      <color rgb="FFEFA3F7"/>
      <color rgb="FFEAA5F5"/>
      <color rgb="FFEB8FF5"/>
      <color rgb="FF79E1E1"/>
    </mruColors>
  </colors>
  <extLst>
    <ext xmlns:x14="http://schemas.microsoft.com/office/spreadsheetml/2009/9/main" uri="{46F421CA-312F-682f-3DD2-61675219B42D}">
      <x14:dxfs count="8">
        <dxf>
          <font>
            <b/>
            <i val="0"/>
            <name val="Calibri"/>
            <family val="2"/>
            <scheme val="minor"/>
          </font>
          <fill>
            <patternFill patternType="none">
              <bgColor auto="1"/>
            </patternFill>
          </fill>
        </dxf>
        <dxf>
          <fill>
            <patternFill>
              <bgColor rgb="FFFFFFFF"/>
            </patternFill>
          </fill>
        </dxf>
        <dxf>
          <font>
            <b/>
            <i val="0"/>
            <name val="Calibri"/>
            <family val="2"/>
            <scheme val="minor"/>
          </font>
          <fill>
            <patternFill patternType="none">
              <bgColor auto="1"/>
            </patternFill>
          </fill>
          <border>
            <left style="thin">
              <color rgb="FFFFFFFF"/>
            </left>
            <right style="thin">
              <color rgb="FFFFFFFF"/>
            </right>
            <top style="thin">
              <color rgb="FFFFFFFF"/>
            </top>
            <bottom style="thin">
              <color rgb="FFFFFFFF"/>
            </bottom>
          </border>
        </dxf>
        <dxf>
          <font>
            <b/>
            <i val="0"/>
            <name val="Calibri"/>
            <family val="2"/>
            <scheme val="minor"/>
          </font>
          <border>
            <left style="thin">
              <color auto="1"/>
            </left>
            <right style="thin">
              <color auto="1"/>
            </right>
            <top style="thin">
              <color auto="1"/>
            </top>
            <bottom style="thin">
              <color auto="1"/>
            </bottom>
          </border>
        </dxf>
        <dxf>
          <font>
            <b val="0"/>
            <i val="0"/>
            <name val="Calibri"/>
            <family val="2"/>
            <scheme val="minor"/>
          </font>
          <fill>
            <patternFill patternType="none">
              <fgColor indexed="64"/>
              <bgColor auto="1"/>
            </patternFill>
          </fill>
          <border>
            <left style="thin">
              <color rgb="FFFFFFFF"/>
            </left>
            <right style="thin">
              <color rgb="FFFFFFFF"/>
            </right>
            <top style="thin">
              <color rgb="FFFFFFFF"/>
            </top>
            <bottom style="thin">
              <color rgb="FFFFFFFF"/>
            </bottom>
          </border>
        </dxf>
        <dxf>
          <font>
            <b/>
            <i val="0"/>
            <name val="Calibri"/>
            <family val="2"/>
            <scheme val="minor"/>
          </font>
          <border>
            <left style="thin">
              <color rgb="FFFFFFFF"/>
            </left>
            <right style="thin">
              <color rgb="FFFFFFFF"/>
            </right>
            <top style="thin">
              <color rgb="FFFFFFFF"/>
            </top>
            <bottom style="thin">
              <color rgb="FFFFFFFF"/>
            </bottom>
          </border>
        </dxf>
        <dxf>
          <font>
            <b val="0"/>
            <i val="0"/>
            <name val="Calibri"/>
            <family val="2"/>
            <scheme val="minor"/>
          </font>
          <fill>
            <patternFill patternType="none">
              <fgColor auto="1"/>
              <bgColor auto="1"/>
            </patternFill>
          </fill>
          <border>
            <left style="thin">
              <color rgb="FFFFFFFF"/>
            </left>
            <right style="thin">
              <color rgb="FFFFFFFF"/>
            </right>
            <top style="thin">
              <color rgb="FFFFFFFF"/>
            </top>
            <bottom style="thin">
              <color rgb="FFFFFFFF"/>
            </bottom>
          </border>
        </dxf>
        <dxf>
          <fill>
            <patternFill>
              <bgColor rgb="FFDF90F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India.xlsx]Jobs_industrywise!PivotTable1</c:name>
    <c:fmtId val="11"/>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sz="1400" b="1" i="0" u="none" strike="noStrike" baseline="0">
                <a:solidFill>
                  <a:srgbClr val="002060"/>
                </a:solidFill>
              </a:rPr>
              <a:t>Top Industries by Job Creation (as of Oct 2024)</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solidFill>
              <a:schemeClr val="bg1"/>
            </a:solidFill>
          </a:ln>
          <a:effectLst>
            <a:softEdge rad="0"/>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B0F0"/>
          </a:solidFill>
          <a:ln>
            <a:solidFill>
              <a:schemeClr val="bg1"/>
            </a:solidFill>
          </a:ln>
          <a:effectLst>
            <a:softEdge rad="0"/>
          </a:effectLst>
        </c:spPr>
      </c:pivotFmt>
      <c:pivotFmt>
        <c:idx val="2"/>
        <c:spPr>
          <a:solidFill>
            <a:srgbClr val="FFFF00"/>
          </a:solidFill>
          <a:ln>
            <a:solidFill>
              <a:schemeClr val="bg1"/>
            </a:solidFill>
          </a:ln>
          <a:effectLst>
            <a:softEdge rad="0"/>
          </a:effectLst>
        </c:spPr>
      </c:pivotFmt>
      <c:pivotFmt>
        <c:idx val="3"/>
        <c:spPr>
          <a:solidFill>
            <a:srgbClr val="EA64E0"/>
          </a:solidFill>
          <a:ln>
            <a:solidFill>
              <a:schemeClr val="bg1"/>
            </a:solidFill>
          </a:ln>
          <a:effectLst>
            <a:softEdge rad="0"/>
          </a:effectLst>
        </c:spPr>
      </c:pivotFmt>
      <c:pivotFmt>
        <c:idx val="4"/>
        <c:spPr>
          <a:solidFill>
            <a:srgbClr val="FF0000"/>
          </a:solidFill>
          <a:ln>
            <a:solidFill>
              <a:schemeClr val="bg1"/>
            </a:solidFill>
          </a:ln>
          <a:effectLst>
            <a:softEdge rad="0"/>
          </a:effectLst>
        </c:spPr>
      </c:pivotFmt>
      <c:pivotFmt>
        <c:idx val="5"/>
        <c:spPr>
          <a:solidFill>
            <a:srgbClr val="79E1E1"/>
          </a:solidFill>
          <a:ln>
            <a:solidFill>
              <a:schemeClr val="bg1"/>
            </a:solidFill>
          </a:ln>
          <a:effectLst>
            <a:softEdge rad="0"/>
          </a:effectLst>
        </c:spPr>
      </c:pivotFmt>
      <c:pivotFmt>
        <c:idx val="6"/>
        <c:spPr>
          <a:solidFill>
            <a:srgbClr val="FFC000"/>
          </a:solidFill>
          <a:ln>
            <a:solidFill>
              <a:schemeClr val="bg1"/>
            </a:solidFill>
          </a:ln>
          <a:effectLst>
            <a:softEdge rad="0"/>
          </a:effectLst>
        </c:spPr>
      </c:pivotFmt>
      <c:pivotFmt>
        <c:idx val="7"/>
        <c:spPr>
          <a:solidFill>
            <a:schemeClr val="accent1"/>
          </a:solidFill>
          <a:ln>
            <a:solidFill>
              <a:schemeClr val="bg1"/>
            </a:solidFill>
          </a:ln>
          <a:effectLst>
            <a:softEdge rad="0"/>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79E1E1"/>
          </a:solidFill>
          <a:ln>
            <a:solidFill>
              <a:schemeClr val="bg1"/>
            </a:solidFill>
          </a:ln>
          <a:effectLst>
            <a:softEdge rad="0"/>
          </a:effectLst>
        </c:spPr>
      </c:pivotFmt>
      <c:pivotFmt>
        <c:idx val="9"/>
        <c:spPr>
          <a:solidFill>
            <a:schemeClr val="accent1"/>
          </a:solidFill>
          <a:ln>
            <a:solidFill>
              <a:schemeClr val="bg1"/>
            </a:solidFill>
          </a:ln>
          <a:effectLst>
            <a:softEdge rad="0"/>
          </a:effectLst>
        </c:spPr>
      </c:pivotFmt>
      <c:pivotFmt>
        <c:idx val="10"/>
        <c:spPr>
          <a:solidFill>
            <a:schemeClr val="accent1"/>
          </a:solidFill>
          <a:ln>
            <a:solidFill>
              <a:schemeClr val="bg1"/>
            </a:solidFill>
          </a:ln>
          <a:effectLst>
            <a:softEdge rad="0"/>
          </a:effectLst>
        </c:spPr>
      </c:pivotFmt>
      <c:pivotFmt>
        <c:idx val="11"/>
        <c:spPr>
          <a:solidFill>
            <a:srgbClr val="FFC000"/>
          </a:solidFill>
          <a:ln>
            <a:solidFill>
              <a:schemeClr val="bg1"/>
            </a:solidFill>
          </a:ln>
          <a:effectLst>
            <a:softEdge rad="0"/>
          </a:effectLst>
        </c:spPr>
      </c:pivotFmt>
      <c:pivotFmt>
        <c:idx val="12"/>
        <c:spPr>
          <a:solidFill>
            <a:srgbClr val="EA64E0"/>
          </a:solidFill>
          <a:ln>
            <a:solidFill>
              <a:schemeClr val="bg1"/>
            </a:solidFill>
          </a:ln>
          <a:effectLst>
            <a:softEdge rad="0"/>
          </a:effectLst>
        </c:spPr>
      </c:pivotFmt>
      <c:pivotFmt>
        <c:idx val="13"/>
        <c:spPr>
          <a:solidFill>
            <a:schemeClr val="accent1"/>
          </a:solidFill>
          <a:ln>
            <a:solidFill>
              <a:schemeClr val="bg1"/>
            </a:solidFill>
          </a:ln>
          <a:effectLst>
            <a:softEdge rad="0"/>
          </a:effectLst>
        </c:spPr>
      </c:pivotFmt>
      <c:pivotFmt>
        <c:idx val="14"/>
        <c:spPr>
          <a:solidFill>
            <a:schemeClr val="accent1"/>
          </a:solidFill>
          <a:ln>
            <a:solidFill>
              <a:schemeClr val="bg1"/>
            </a:solidFill>
          </a:ln>
          <a:effectLst>
            <a:softEdge rad="0"/>
          </a:effectLst>
        </c:spPr>
      </c:pivotFmt>
      <c:pivotFmt>
        <c:idx val="15"/>
        <c:spPr>
          <a:solidFill>
            <a:srgbClr val="FF0000"/>
          </a:solidFill>
          <a:ln>
            <a:solidFill>
              <a:schemeClr val="bg1"/>
            </a:solidFill>
          </a:ln>
          <a:effectLst>
            <a:softEdge rad="0"/>
          </a:effectLst>
        </c:spPr>
      </c:pivotFmt>
      <c:pivotFmt>
        <c:idx val="16"/>
        <c:spPr>
          <a:solidFill>
            <a:srgbClr val="00B0F0"/>
          </a:solidFill>
          <a:ln>
            <a:solidFill>
              <a:schemeClr val="bg1"/>
            </a:solidFill>
          </a:ln>
          <a:effectLst>
            <a:softEdge rad="0"/>
          </a:effectLst>
        </c:spPr>
      </c:pivotFmt>
      <c:pivotFmt>
        <c:idx val="17"/>
        <c:spPr>
          <a:solidFill>
            <a:srgbClr val="FFFF00"/>
          </a:solidFill>
          <a:ln>
            <a:solidFill>
              <a:schemeClr val="bg1"/>
            </a:solidFill>
          </a:ln>
          <a:effectLst>
            <a:softEdge rad="0"/>
          </a:effectLst>
        </c:spPr>
      </c:pivotFmt>
      <c:pivotFmt>
        <c:idx val="18"/>
        <c:spPr>
          <a:solidFill>
            <a:schemeClr val="accent1"/>
          </a:solidFill>
          <a:ln>
            <a:solidFill>
              <a:schemeClr val="bg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9E1E1"/>
          </a:solidFill>
          <a:ln>
            <a:solidFill>
              <a:schemeClr val="bg1"/>
            </a:solidFill>
          </a:ln>
          <a:effectLst>
            <a:softEdge rad="0"/>
          </a:effectLst>
        </c:spPr>
      </c:pivotFmt>
      <c:pivotFmt>
        <c:idx val="20"/>
        <c:spPr>
          <a:solidFill>
            <a:schemeClr val="accent1"/>
          </a:solidFill>
          <a:ln>
            <a:solidFill>
              <a:schemeClr val="bg1"/>
            </a:solidFill>
          </a:ln>
          <a:effectLst>
            <a:softEdge rad="0"/>
          </a:effectLst>
        </c:spPr>
      </c:pivotFmt>
      <c:pivotFmt>
        <c:idx val="21"/>
        <c:spPr>
          <a:solidFill>
            <a:schemeClr val="accent1"/>
          </a:solidFill>
          <a:ln>
            <a:solidFill>
              <a:schemeClr val="bg1"/>
            </a:solidFill>
          </a:ln>
          <a:effectLst>
            <a:softEdge rad="0"/>
          </a:effectLst>
        </c:spPr>
      </c:pivotFmt>
      <c:pivotFmt>
        <c:idx val="22"/>
        <c:spPr>
          <a:solidFill>
            <a:srgbClr val="FFC000"/>
          </a:solidFill>
          <a:ln>
            <a:solidFill>
              <a:schemeClr val="bg1"/>
            </a:solidFill>
          </a:ln>
          <a:effectLst>
            <a:softEdge rad="0"/>
          </a:effectLst>
        </c:spPr>
      </c:pivotFmt>
      <c:pivotFmt>
        <c:idx val="23"/>
        <c:spPr>
          <a:solidFill>
            <a:srgbClr val="EA64E0"/>
          </a:solidFill>
          <a:ln>
            <a:solidFill>
              <a:schemeClr val="bg1"/>
            </a:solidFill>
          </a:ln>
          <a:effectLst>
            <a:softEdge rad="0"/>
          </a:effectLst>
        </c:spPr>
      </c:pivotFmt>
      <c:pivotFmt>
        <c:idx val="24"/>
        <c:spPr>
          <a:solidFill>
            <a:schemeClr val="accent1"/>
          </a:solidFill>
          <a:ln>
            <a:solidFill>
              <a:schemeClr val="bg1"/>
            </a:solidFill>
          </a:ln>
          <a:effectLst>
            <a:softEdge rad="0"/>
          </a:effectLst>
        </c:spPr>
      </c:pivotFmt>
      <c:pivotFmt>
        <c:idx val="25"/>
        <c:spPr>
          <a:solidFill>
            <a:schemeClr val="accent1"/>
          </a:solidFill>
          <a:ln>
            <a:solidFill>
              <a:schemeClr val="bg1"/>
            </a:solidFill>
          </a:ln>
          <a:effectLst>
            <a:softEdge rad="0"/>
          </a:effectLst>
        </c:spPr>
      </c:pivotFmt>
      <c:pivotFmt>
        <c:idx val="26"/>
        <c:spPr>
          <a:solidFill>
            <a:srgbClr val="FF0000"/>
          </a:solidFill>
          <a:ln>
            <a:solidFill>
              <a:schemeClr val="bg1"/>
            </a:solidFill>
          </a:ln>
          <a:effectLst>
            <a:softEdge rad="0"/>
          </a:effectLst>
        </c:spPr>
      </c:pivotFmt>
      <c:pivotFmt>
        <c:idx val="27"/>
        <c:spPr>
          <a:solidFill>
            <a:srgbClr val="00B0F0"/>
          </a:solidFill>
          <a:ln>
            <a:solidFill>
              <a:schemeClr val="bg1"/>
            </a:solidFill>
          </a:ln>
          <a:effectLst>
            <a:softEdge rad="0"/>
          </a:effectLst>
        </c:spPr>
      </c:pivotFmt>
      <c:pivotFmt>
        <c:idx val="28"/>
        <c:spPr>
          <a:solidFill>
            <a:srgbClr val="FFFF00"/>
          </a:solidFill>
          <a:ln>
            <a:solidFill>
              <a:schemeClr val="bg1"/>
            </a:solidFill>
          </a:ln>
          <a:effectLst>
            <a:softEdge rad="0"/>
          </a:effectLst>
        </c:spPr>
      </c:pivotFmt>
    </c:pivotFmts>
    <c:plotArea>
      <c:layout>
        <c:manualLayout>
          <c:layoutTarget val="inner"/>
          <c:xMode val="edge"/>
          <c:yMode val="edge"/>
          <c:x val="0.44771681910819583"/>
          <c:y val="0.26245639765700207"/>
          <c:w val="0.4991787959810508"/>
          <c:h val="0.63048215769775995"/>
        </c:manualLayout>
      </c:layout>
      <c:barChart>
        <c:barDir val="bar"/>
        <c:grouping val="clustered"/>
        <c:varyColors val="1"/>
        <c:ser>
          <c:idx val="0"/>
          <c:order val="0"/>
          <c:tx>
            <c:strRef>
              <c:f>Jobs_industrywise!$B$3</c:f>
              <c:strCache>
                <c:ptCount val="1"/>
                <c:pt idx="0">
                  <c:v>Total</c:v>
                </c:pt>
              </c:strCache>
            </c:strRef>
          </c:tx>
          <c:spPr>
            <a:ln>
              <a:solidFill>
                <a:schemeClr val="bg1"/>
              </a:solidFill>
            </a:ln>
            <a:effectLst>
              <a:softEdge rad="0"/>
            </a:effectLst>
          </c:spPr>
          <c:invertIfNegative val="0"/>
          <c:dPt>
            <c:idx val="0"/>
            <c:invertIfNegative val="0"/>
            <c:bubble3D val="0"/>
            <c:spPr>
              <a:solidFill>
                <a:srgbClr val="79E1E1"/>
              </a:solidFill>
              <a:ln>
                <a:solidFill>
                  <a:schemeClr val="bg1"/>
                </a:solidFill>
              </a:ln>
              <a:effectLst>
                <a:softEdge rad="0"/>
              </a:effectLst>
            </c:spPr>
            <c:extLst>
              <c:ext xmlns:c16="http://schemas.microsoft.com/office/drawing/2014/chart" uri="{C3380CC4-5D6E-409C-BE32-E72D297353CC}">
                <c16:uniqueId val="{00000001-BB3E-4697-AB64-B6D77514BDA7}"/>
              </c:ext>
            </c:extLst>
          </c:dPt>
          <c:dPt>
            <c:idx val="1"/>
            <c:invertIfNegative val="0"/>
            <c:bubble3D val="0"/>
            <c:spPr>
              <a:solidFill>
                <a:schemeClr val="accent2"/>
              </a:solidFill>
              <a:ln>
                <a:solidFill>
                  <a:schemeClr val="bg1"/>
                </a:solidFill>
              </a:ln>
              <a:effectLst>
                <a:softEdge rad="0"/>
              </a:effectLst>
            </c:spPr>
            <c:extLst>
              <c:ext xmlns:c16="http://schemas.microsoft.com/office/drawing/2014/chart" uri="{C3380CC4-5D6E-409C-BE32-E72D297353CC}">
                <c16:uniqueId val="{00000003-BB3E-4697-AB64-B6D77514BDA7}"/>
              </c:ext>
            </c:extLst>
          </c:dPt>
          <c:dPt>
            <c:idx val="2"/>
            <c:invertIfNegative val="0"/>
            <c:bubble3D val="0"/>
            <c:spPr>
              <a:solidFill>
                <a:schemeClr val="accent3"/>
              </a:solidFill>
              <a:ln>
                <a:solidFill>
                  <a:schemeClr val="bg1"/>
                </a:solidFill>
              </a:ln>
              <a:effectLst>
                <a:softEdge rad="0"/>
              </a:effectLst>
            </c:spPr>
            <c:extLst>
              <c:ext xmlns:c16="http://schemas.microsoft.com/office/drawing/2014/chart" uri="{C3380CC4-5D6E-409C-BE32-E72D297353CC}">
                <c16:uniqueId val="{00000005-BB3E-4697-AB64-B6D77514BDA7}"/>
              </c:ext>
            </c:extLst>
          </c:dPt>
          <c:dPt>
            <c:idx val="3"/>
            <c:invertIfNegative val="0"/>
            <c:bubble3D val="0"/>
            <c:spPr>
              <a:solidFill>
                <a:srgbClr val="FFC000"/>
              </a:solidFill>
              <a:ln>
                <a:solidFill>
                  <a:schemeClr val="bg1"/>
                </a:solidFill>
              </a:ln>
              <a:effectLst>
                <a:softEdge rad="0"/>
              </a:effectLst>
            </c:spPr>
            <c:extLst>
              <c:ext xmlns:c16="http://schemas.microsoft.com/office/drawing/2014/chart" uri="{C3380CC4-5D6E-409C-BE32-E72D297353CC}">
                <c16:uniqueId val="{00000007-BB3E-4697-AB64-B6D77514BDA7}"/>
              </c:ext>
            </c:extLst>
          </c:dPt>
          <c:dPt>
            <c:idx val="4"/>
            <c:invertIfNegative val="0"/>
            <c:bubble3D val="0"/>
            <c:spPr>
              <a:solidFill>
                <a:srgbClr val="EA64E0"/>
              </a:solidFill>
              <a:ln>
                <a:solidFill>
                  <a:schemeClr val="bg1"/>
                </a:solidFill>
              </a:ln>
              <a:effectLst>
                <a:softEdge rad="0"/>
              </a:effectLst>
            </c:spPr>
            <c:extLst>
              <c:ext xmlns:c16="http://schemas.microsoft.com/office/drawing/2014/chart" uri="{C3380CC4-5D6E-409C-BE32-E72D297353CC}">
                <c16:uniqueId val="{00000009-BB3E-4697-AB64-B6D77514BDA7}"/>
              </c:ext>
            </c:extLst>
          </c:dPt>
          <c:dPt>
            <c:idx val="5"/>
            <c:invertIfNegative val="0"/>
            <c:bubble3D val="0"/>
            <c:spPr>
              <a:solidFill>
                <a:schemeClr val="accent6"/>
              </a:solidFill>
              <a:ln>
                <a:solidFill>
                  <a:schemeClr val="bg1"/>
                </a:solidFill>
              </a:ln>
              <a:effectLst>
                <a:softEdge rad="0"/>
              </a:effectLst>
            </c:spPr>
            <c:extLst>
              <c:ext xmlns:c16="http://schemas.microsoft.com/office/drawing/2014/chart" uri="{C3380CC4-5D6E-409C-BE32-E72D297353CC}">
                <c16:uniqueId val="{0000000B-BB3E-4697-AB64-B6D77514BDA7}"/>
              </c:ext>
            </c:extLst>
          </c:dPt>
          <c:dPt>
            <c:idx val="6"/>
            <c:invertIfNegative val="0"/>
            <c:bubble3D val="0"/>
            <c:spPr>
              <a:solidFill>
                <a:schemeClr val="accent1">
                  <a:lumMod val="60000"/>
                </a:schemeClr>
              </a:solidFill>
              <a:ln>
                <a:solidFill>
                  <a:schemeClr val="bg1"/>
                </a:solidFill>
              </a:ln>
              <a:effectLst>
                <a:softEdge rad="0"/>
              </a:effectLst>
            </c:spPr>
            <c:extLst>
              <c:ext xmlns:c16="http://schemas.microsoft.com/office/drawing/2014/chart" uri="{C3380CC4-5D6E-409C-BE32-E72D297353CC}">
                <c16:uniqueId val="{0000000D-BB3E-4697-AB64-B6D77514BDA7}"/>
              </c:ext>
            </c:extLst>
          </c:dPt>
          <c:dPt>
            <c:idx val="7"/>
            <c:invertIfNegative val="0"/>
            <c:bubble3D val="0"/>
            <c:spPr>
              <a:solidFill>
                <a:srgbClr val="FF0000"/>
              </a:solidFill>
              <a:ln>
                <a:solidFill>
                  <a:schemeClr val="bg1"/>
                </a:solidFill>
              </a:ln>
              <a:effectLst>
                <a:softEdge rad="0"/>
              </a:effectLst>
            </c:spPr>
            <c:extLst>
              <c:ext xmlns:c16="http://schemas.microsoft.com/office/drawing/2014/chart" uri="{C3380CC4-5D6E-409C-BE32-E72D297353CC}">
                <c16:uniqueId val="{0000000F-BB3E-4697-AB64-B6D77514BDA7}"/>
              </c:ext>
            </c:extLst>
          </c:dPt>
          <c:dPt>
            <c:idx val="8"/>
            <c:invertIfNegative val="0"/>
            <c:bubble3D val="0"/>
            <c:spPr>
              <a:solidFill>
                <a:srgbClr val="00B0F0"/>
              </a:solidFill>
              <a:ln>
                <a:solidFill>
                  <a:schemeClr val="bg1"/>
                </a:solidFill>
              </a:ln>
              <a:effectLst>
                <a:softEdge rad="0"/>
              </a:effectLst>
            </c:spPr>
            <c:extLst>
              <c:ext xmlns:c16="http://schemas.microsoft.com/office/drawing/2014/chart" uri="{C3380CC4-5D6E-409C-BE32-E72D297353CC}">
                <c16:uniqueId val="{00000011-BB3E-4697-AB64-B6D77514BDA7}"/>
              </c:ext>
            </c:extLst>
          </c:dPt>
          <c:dPt>
            <c:idx val="9"/>
            <c:invertIfNegative val="0"/>
            <c:bubble3D val="0"/>
            <c:spPr>
              <a:solidFill>
                <a:srgbClr val="FFFF00"/>
              </a:solidFill>
              <a:ln>
                <a:solidFill>
                  <a:schemeClr val="bg1"/>
                </a:solidFill>
              </a:ln>
              <a:effectLst>
                <a:softEdge rad="0"/>
              </a:effectLst>
            </c:spPr>
            <c:extLst>
              <c:ext xmlns:c16="http://schemas.microsoft.com/office/drawing/2014/chart" uri="{C3380CC4-5D6E-409C-BE32-E72D297353CC}">
                <c16:uniqueId val="{00000013-BB3E-4697-AB64-B6D77514BDA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Jobs_industrywise!$A$4:$A$14</c:f>
              <c:strCache>
                <c:ptCount val="10"/>
                <c:pt idx="0">
                  <c:v>Technology Hardware</c:v>
                </c:pt>
                <c:pt idx="1">
                  <c:v>Finance Technology</c:v>
                </c:pt>
                <c:pt idx="2">
                  <c:v>Agriculture</c:v>
                </c:pt>
                <c:pt idx="3">
                  <c:v>Human Resources</c:v>
                </c:pt>
                <c:pt idx="4">
                  <c:v>Food and Beverages</c:v>
                </c:pt>
                <c:pt idx="5">
                  <c:v>Construction</c:v>
                </c:pt>
                <c:pt idx="6">
                  <c:v>Education</c:v>
                </c:pt>
                <c:pt idx="7">
                  <c:v>Professional and Commercial Services</c:v>
                </c:pt>
                <c:pt idx="8">
                  <c:v>Healthcare and Lifesciences</c:v>
                </c:pt>
                <c:pt idx="9">
                  <c:v>IT Services</c:v>
                </c:pt>
              </c:strCache>
            </c:strRef>
          </c:cat>
          <c:val>
            <c:numRef>
              <c:f>Jobs_industrywise!$B$4:$B$14</c:f>
              <c:numCache>
                <c:formatCode>General</c:formatCode>
                <c:ptCount val="10"/>
                <c:pt idx="0">
                  <c:v>50894</c:v>
                </c:pt>
                <c:pt idx="1">
                  <c:v>56819</c:v>
                </c:pt>
                <c:pt idx="2">
                  <c:v>83307</c:v>
                </c:pt>
                <c:pt idx="3">
                  <c:v>87983</c:v>
                </c:pt>
                <c:pt idx="4">
                  <c:v>88468</c:v>
                </c:pt>
                <c:pt idx="5">
                  <c:v>88702</c:v>
                </c:pt>
                <c:pt idx="6">
                  <c:v>90414</c:v>
                </c:pt>
                <c:pt idx="7">
                  <c:v>94060</c:v>
                </c:pt>
                <c:pt idx="8">
                  <c:v>147639</c:v>
                </c:pt>
                <c:pt idx="9">
                  <c:v>204119</c:v>
                </c:pt>
              </c:numCache>
            </c:numRef>
          </c:val>
          <c:extLst>
            <c:ext xmlns:c16="http://schemas.microsoft.com/office/drawing/2014/chart" uri="{C3380CC4-5D6E-409C-BE32-E72D297353CC}">
              <c16:uniqueId val="{00000014-BB3E-4697-AB64-B6D77514BDA7}"/>
            </c:ext>
          </c:extLst>
        </c:ser>
        <c:dLbls>
          <c:dLblPos val="outEnd"/>
          <c:showLegendKey val="0"/>
          <c:showVal val="1"/>
          <c:showCatName val="0"/>
          <c:showSerName val="0"/>
          <c:showPercent val="0"/>
          <c:showBubbleSize val="0"/>
        </c:dLbls>
        <c:gapWidth val="182"/>
        <c:axId val="1734097327"/>
        <c:axId val="1734097807"/>
      </c:barChart>
      <c:catAx>
        <c:axId val="1734097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4097807"/>
        <c:crosses val="autoZero"/>
        <c:auto val="1"/>
        <c:lblAlgn val="ctr"/>
        <c:lblOffset val="100"/>
        <c:noMultiLvlLbl val="0"/>
      </c:catAx>
      <c:valAx>
        <c:axId val="173409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409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India.xlsx]jobs_stateswise!PivotTable1</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Jobs</a:t>
            </a:r>
            <a:r>
              <a:rPr lang="en-IN" b="1" baseline="0">
                <a:solidFill>
                  <a:srgbClr val="002060"/>
                </a:solidFill>
              </a:rPr>
              <a:t> Created by Top 5 States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2362"/>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72362"/>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72362"/>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jobs_stateswise!$B$3</c:f>
              <c:strCache>
                <c:ptCount val="1"/>
                <c:pt idx="0">
                  <c:v>Sum of 2019</c:v>
                </c:pt>
              </c:strCache>
            </c:strRef>
          </c:tx>
          <c:spPr>
            <a:solidFill>
              <a:srgbClr val="00B050"/>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jobs_stateswise!$B$4:$B$8</c:f>
              <c:numCache>
                <c:formatCode>General</c:formatCode>
                <c:ptCount val="5"/>
                <c:pt idx="0">
                  <c:v>21979</c:v>
                </c:pt>
                <c:pt idx="1">
                  <c:v>13862</c:v>
                </c:pt>
                <c:pt idx="2">
                  <c:v>20256</c:v>
                </c:pt>
                <c:pt idx="3">
                  <c:v>8823</c:v>
                </c:pt>
                <c:pt idx="4">
                  <c:v>9990</c:v>
                </c:pt>
              </c:numCache>
            </c:numRef>
          </c:val>
          <c:extLst>
            <c:ext xmlns:c16="http://schemas.microsoft.com/office/drawing/2014/chart" uri="{C3380CC4-5D6E-409C-BE32-E72D297353CC}">
              <c16:uniqueId val="{00000000-EB4C-4F06-911F-383018ED91E4}"/>
            </c:ext>
          </c:extLst>
        </c:ser>
        <c:ser>
          <c:idx val="1"/>
          <c:order val="1"/>
          <c:tx>
            <c:strRef>
              <c:f>jobs_stateswise!$C$3</c:f>
              <c:strCache>
                <c:ptCount val="1"/>
                <c:pt idx="0">
                  <c:v>Sum of 2020</c:v>
                </c:pt>
              </c:strCache>
            </c:strRef>
          </c:tx>
          <c:spPr>
            <a:solidFill>
              <a:srgbClr val="FF0000"/>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jobs_stateswise!$C$4:$C$8</c:f>
              <c:numCache>
                <c:formatCode>General</c:formatCode>
                <c:ptCount val="5"/>
                <c:pt idx="0">
                  <c:v>29133</c:v>
                </c:pt>
                <c:pt idx="1">
                  <c:v>17638</c:v>
                </c:pt>
                <c:pt idx="2">
                  <c:v>23767</c:v>
                </c:pt>
                <c:pt idx="3">
                  <c:v>13226</c:v>
                </c:pt>
                <c:pt idx="4">
                  <c:v>10515</c:v>
                </c:pt>
              </c:numCache>
            </c:numRef>
          </c:val>
          <c:extLst>
            <c:ext xmlns:c16="http://schemas.microsoft.com/office/drawing/2014/chart" uri="{C3380CC4-5D6E-409C-BE32-E72D297353CC}">
              <c16:uniqueId val="{00000001-EB4C-4F06-911F-383018ED91E4}"/>
            </c:ext>
          </c:extLst>
        </c:ser>
        <c:ser>
          <c:idx val="2"/>
          <c:order val="2"/>
          <c:tx>
            <c:strRef>
              <c:f>jobs_stateswise!$D$3</c:f>
              <c:strCache>
                <c:ptCount val="1"/>
                <c:pt idx="0">
                  <c:v>Sum of 2021</c:v>
                </c:pt>
              </c:strCache>
            </c:strRef>
          </c:tx>
          <c:spPr>
            <a:solidFill>
              <a:srgbClr val="672362"/>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jobs_stateswise!$D$4:$D$8</c:f>
              <c:numCache>
                <c:formatCode>General</c:formatCode>
                <c:ptCount val="5"/>
                <c:pt idx="0">
                  <c:v>38354</c:v>
                </c:pt>
                <c:pt idx="1">
                  <c:v>22231</c:v>
                </c:pt>
                <c:pt idx="2">
                  <c:v>20812</c:v>
                </c:pt>
                <c:pt idx="3">
                  <c:v>18812</c:v>
                </c:pt>
                <c:pt idx="4">
                  <c:v>10006</c:v>
                </c:pt>
              </c:numCache>
            </c:numRef>
          </c:val>
          <c:extLst>
            <c:ext xmlns:c16="http://schemas.microsoft.com/office/drawing/2014/chart" uri="{C3380CC4-5D6E-409C-BE32-E72D297353CC}">
              <c16:uniqueId val="{00000002-EB4C-4F06-911F-383018ED91E4}"/>
            </c:ext>
          </c:extLst>
        </c:ser>
        <c:ser>
          <c:idx val="3"/>
          <c:order val="3"/>
          <c:tx>
            <c:strRef>
              <c:f>jobs_stateswise!$E$3</c:f>
              <c:strCache>
                <c:ptCount val="1"/>
                <c:pt idx="0">
                  <c:v>Sum of 2022</c:v>
                </c:pt>
              </c:strCache>
            </c:strRef>
          </c:tx>
          <c:spPr>
            <a:solidFill>
              <a:schemeClr val="accent4"/>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jobs_stateswise!$E$4:$E$8</c:f>
              <c:numCache>
                <c:formatCode>General</c:formatCode>
                <c:ptCount val="5"/>
                <c:pt idx="0">
                  <c:v>50913</c:v>
                </c:pt>
                <c:pt idx="1">
                  <c:v>29955</c:v>
                </c:pt>
                <c:pt idx="2">
                  <c:v>24544</c:v>
                </c:pt>
                <c:pt idx="3">
                  <c:v>22673</c:v>
                </c:pt>
                <c:pt idx="4">
                  <c:v>13694</c:v>
                </c:pt>
              </c:numCache>
            </c:numRef>
          </c:val>
          <c:extLst>
            <c:ext xmlns:c16="http://schemas.microsoft.com/office/drawing/2014/chart" uri="{C3380CC4-5D6E-409C-BE32-E72D297353CC}">
              <c16:uniqueId val="{00000003-EB4C-4F06-911F-383018ED91E4}"/>
            </c:ext>
          </c:extLst>
        </c:ser>
        <c:ser>
          <c:idx val="4"/>
          <c:order val="4"/>
          <c:tx>
            <c:strRef>
              <c:f>jobs_stateswise!$F$3</c:f>
              <c:strCache>
                <c:ptCount val="1"/>
                <c:pt idx="0">
                  <c:v>Sum of 2023</c:v>
                </c:pt>
              </c:strCache>
            </c:strRef>
          </c:tx>
          <c:spPr>
            <a:solidFill>
              <a:schemeClr val="accent5"/>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jobs_stateswise!$F$4:$F$8</c:f>
              <c:numCache>
                <c:formatCode>General</c:formatCode>
                <c:ptCount val="5"/>
                <c:pt idx="0">
                  <c:v>64974</c:v>
                </c:pt>
                <c:pt idx="1">
                  <c:v>38280</c:v>
                </c:pt>
                <c:pt idx="2">
                  <c:v>35066</c:v>
                </c:pt>
                <c:pt idx="3">
                  <c:v>33831</c:v>
                </c:pt>
                <c:pt idx="4">
                  <c:v>26021</c:v>
                </c:pt>
              </c:numCache>
            </c:numRef>
          </c:val>
          <c:extLst>
            <c:ext xmlns:c16="http://schemas.microsoft.com/office/drawing/2014/chart" uri="{C3380CC4-5D6E-409C-BE32-E72D297353CC}">
              <c16:uniqueId val="{00000004-EB4C-4F06-911F-383018ED91E4}"/>
            </c:ext>
          </c:extLst>
        </c:ser>
        <c:dLbls>
          <c:showLegendKey val="0"/>
          <c:showVal val="0"/>
          <c:showCatName val="0"/>
          <c:showSerName val="0"/>
          <c:showPercent val="0"/>
          <c:showBubbleSize val="0"/>
        </c:dLbls>
        <c:gapWidth val="219"/>
        <c:overlap val="-27"/>
        <c:axId val="1842573407"/>
        <c:axId val="1842571487"/>
      </c:barChart>
      <c:catAx>
        <c:axId val="184257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2571487"/>
        <c:crosses val="autoZero"/>
        <c:auto val="1"/>
        <c:lblAlgn val="ctr"/>
        <c:lblOffset val="100"/>
        <c:noMultiLvlLbl val="0"/>
      </c:catAx>
      <c:valAx>
        <c:axId val="1842571487"/>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257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India.xlsx]startups!PivotTable2</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Growth</a:t>
            </a:r>
            <a:r>
              <a:rPr lang="en-IN" sz="1200" b="1" baseline="0">
                <a:solidFill>
                  <a:srgbClr val="002060"/>
                </a:solidFill>
              </a:rPr>
              <a:t> Trend of Startups Year wise of Top States</a:t>
            </a:r>
            <a:endParaRPr lang="en-IN" sz="1200" b="1">
              <a:solidFill>
                <a:srgbClr val="00206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FFFFFF"/>
            </a:solidFill>
          </a:ln>
          <a:effectLst/>
        </c:spPr>
      </c:pivotFmt>
      <c:pivotFmt>
        <c:idx val="6"/>
        <c:spPr>
          <a:solidFill>
            <a:srgbClr val="7030A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030A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5263975451842702"/>
          <c:w val="0.71758370815611661"/>
          <c:h val="0.557927539645656"/>
        </c:manualLayout>
      </c:layout>
      <c:barChart>
        <c:barDir val="col"/>
        <c:grouping val="clustered"/>
        <c:varyColors val="0"/>
        <c:ser>
          <c:idx val="0"/>
          <c:order val="0"/>
          <c:tx>
            <c:strRef>
              <c:f>startups!$B$3</c:f>
              <c:strCache>
                <c:ptCount val="1"/>
                <c:pt idx="0">
                  <c:v>Sum of 2019</c:v>
                </c:pt>
              </c:strCache>
            </c:strRef>
          </c:tx>
          <c:spPr>
            <a:solidFill>
              <a:srgbClr val="7030A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startups!$B$4:$B$8</c:f>
              <c:numCache>
                <c:formatCode>General</c:formatCode>
                <c:ptCount val="5"/>
                <c:pt idx="0">
                  <c:v>1987</c:v>
                </c:pt>
                <c:pt idx="1">
                  <c:v>807</c:v>
                </c:pt>
                <c:pt idx="2">
                  <c:v>1302</c:v>
                </c:pt>
                <c:pt idx="3">
                  <c:v>1566</c:v>
                </c:pt>
                <c:pt idx="4">
                  <c:v>658</c:v>
                </c:pt>
              </c:numCache>
            </c:numRef>
          </c:val>
          <c:extLst>
            <c:ext xmlns:c16="http://schemas.microsoft.com/office/drawing/2014/chart" uri="{C3380CC4-5D6E-409C-BE32-E72D297353CC}">
              <c16:uniqueId val="{00000000-BCCF-4624-903F-2FDDBE794943}"/>
            </c:ext>
          </c:extLst>
        </c:ser>
        <c:ser>
          <c:idx val="1"/>
          <c:order val="1"/>
          <c:tx>
            <c:strRef>
              <c:f>startups!$C$3</c:f>
              <c:strCache>
                <c:ptCount val="1"/>
                <c:pt idx="0">
                  <c:v>Sum of 2020</c:v>
                </c:pt>
              </c:strCache>
            </c:strRef>
          </c:tx>
          <c:spPr>
            <a:solidFill>
              <a:srgbClr val="FF000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startups!$C$4:$C$8</c:f>
              <c:numCache>
                <c:formatCode>General</c:formatCode>
                <c:ptCount val="5"/>
                <c:pt idx="0">
                  <c:v>2531</c:v>
                </c:pt>
                <c:pt idx="1">
                  <c:v>1290</c:v>
                </c:pt>
                <c:pt idx="2">
                  <c:v>1711</c:v>
                </c:pt>
                <c:pt idx="3">
                  <c:v>1648</c:v>
                </c:pt>
                <c:pt idx="4">
                  <c:v>787</c:v>
                </c:pt>
              </c:numCache>
            </c:numRef>
          </c:val>
          <c:extLst>
            <c:ext xmlns:c16="http://schemas.microsoft.com/office/drawing/2014/chart" uri="{C3380CC4-5D6E-409C-BE32-E72D297353CC}">
              <c16:uniqueId val="{00000001-BCCF-4624-903F-2FDDBE794943}"/>
            </c:ext>
          </c:extLst>
        </c:ser>
        <c:ser>
          <c:idx val="2"/>
          <c:order val="2"/>
          <c:tx>
            <c:strRef>
              <c:f>startups!$D$3</c:f>
              <c:strCache>
                <c:ptCount val="1"/>
                <c:pt idx="0">
                  <c:v>Sum of 2021</c:v>
                </c:pt>
              </c:strCache>
            </c:strRef>
          </c:tx>
          <c:spPr>
            <a:solidFill>
              <a:schemeClr val="accent1">
                <a:lumMod val="50000"/>
              </a:schemeClr>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startups!$D$4:$D$8</c:f>
              <c:numCache>
                <c:formatCode>General</c:formatCode>
                <c:ptCount val="5"/>
                <c:pt idx="0">
                  <c:v>3552</c:v>
                </c:pt>
                <c:pt idx="1">
                  <c:v>1876</c:v>
                </c:pt>
                <c:pt idx="2">
                  <c:v>2129</c:v>
                </c:pt>
                <c:pt idx="3">
                  <c:v>2082</c:v>
                </c:pt>
                <c:pt idx="4">
                  <c:v>1036</c:v>
                </c:pt>
              </c:numCache>
            </c:numRef>
          </c:val>
          <c:extLst>
            <c:ext xmlns:c16="http://schemas.microsoft.com/office/drawing/2014/chart" uri="{C3380CC4-5D6E-409C-BE32-E72D297353CC}">
              <c16:uniqueId val="{00000002-BCCF-4624-903F-2FDDBE794943}"/>
            </c:ext>
          </c:extLst>
        </c:ser>
        <c:ser>
          <c:idx val="3"/>
          <c:order val="3"/>
          <c:tx>
            <c:strRef>
              <c:f>startups!$E$3</c:f>
              <c:strCache>
                <c:ptCount val="1"/>
                <c:pt idx="0">
                  <c:v>Sum of 2022</c:v>
                </c:pt>
              </c:strCache>
            </c:strRef>
          </c:tx>
          <c:spPr>
            <a:solidFill>
              <a:srgbClr val="FFFF0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startups!$E$4:$E$8</c:f>
              <c:numCache>
                <c:formatCode>General</c:formatCode>
                <c:ptCount val="5"/>
                <c:pt idx="0">
                  <c:v>4763</c:v>
                </c:pt>
                <c:pt idx="1">
                  <c:v>2554</c:v>
                </c:pt>
                <c:pt idx="2">
                  <c:v>2548</c:v>
                </c:pt>
                <c:pt idx="3">
                  <c:v>2546</c:v>
                </c:pt>
                <c:pt idx="4">
                  <c:v>1327</c:v>
                </c:pt>
              </c:numCache>
            </c:numRef>
          </c:val>
          <c:extLst>
            <c:ext xmlns:c16="http://schemas.microsoft.com/office/drawing/2014/chart" uri="{C3380CC4-5D6E-409C-BE32-E72D297353CC}">
              <c16:uniqueId val="{00000003-BCCF-4624-903F-2FDDBE794943}"/>
            </c:ext>
          </c:extLst>
        </c:ser>
        <c:ser>
          <c:idx val="4"/>
          <c:order val="4"/>
          <c:tx>
            <c:strRef>
              <c:f>startups!$F$3</c:f>
              <c:strCache>
                <c:ptCount val="1"/>
                <c:pt idx="0">
                  <c:v>Sum of 2023</c:v>
                </c:pt>
              </c:strCache>
            </c:strRef>
          </c:tx>
          <c:spPr>
            <a:solidFill>
              <a:srgbClr val="00B05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startups!$F$4:$F$8</c:f>
              <c:numCache>
                <c:formatCode>General</c:formatCode>
                <c:ptCount val="5"/>
                <c:pt idx="0">
                  <c:v>5801</c:v>
                </c:pt>
                <c:pt idx="1">
                  <c:v>3426</c:v>
                </c:pt>
                <c:pt idx="2">
                  <c:v>3150</c:v>
                </c:pt>
                <c:pt idx="3">
                  <c:v>3032</c:v>
                </c:pt>
                <c:pt idx="4">
                  <c:v>1740</c:v>
                </c:pt>
              </c:numCache>
            </c:numRef>
          </c:val>
          <c:extLst>
            <c:ext xmlns:c16="http://schemas.microsoft.com/office/drawing/2014/chart" uri="{C3380CC4-5D6E-409C-BE32-E72D297353CC}">
              <c16:uniqueId val="{00000004-BCCF-4624-903F-2FDDBE794943}"/>
            </c:ext>
          </c:extLst>
        </c:ser>
        <c:dLbls>
          <c:showLegendKey val="0"/>
          <c:showVal val="0"/>
          <c:showCatName val="0"/>
          <c:showSerName val="0"/>
          <c:showPercent val="0"/>
          <c:showBubbleSize val="0"/>
        </c:dLbls>
        <c:gapWidth val="182"/>
        <c:axId val="2136826959"/>
        <c:axId val="2136810639"/>
      </c:barChart>
      <c:catAx>
        <c:axId val="213682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6810639"/>
        <c:crosses val="autoZero"/>
        <c:auto val="1"/>
        <c:lblAlgn val="ctr"/>
        <c:lblOffset val="100"/>
        <c:noMultiLvlLbl val="0"/>
      </c:catAx>
      <c:valAx>
        <c:axId val="213681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682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India.xlsx]Jobs_industrywise!PivotTable1</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sz="1400" b="1" i="0" u="none" strike="noStrike" baseline="0">
                <a:solidFill>
                  <a:srgbClr val="002060"/>
                </a:solidFill>
              </a:rPr>
              <a:t>Top Industries by Job Creation (as of Oct 2024)</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solidFill>
              <a:schemeClr val="bg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chemeClr val="bg1"/>
            </a:solidFill>
          </a:ln>
          <a:effectLst>
            <a:softEdge rad="0"/>
          </a:effectLst>
        </c:spPr>
      </c:pivotFmt>
      <c:pivotFmt>
        <c:idx val="2"/>
        <c:spPr>
          <a:solidFill>
            <a:srgbClr val="FFFF00"/>
          </a:solidFill>
          <a:ln>
            <a:solidFill>
              <a:schemeClr val="bg1"/>
            </a:solidFill>
          </a:ln>
          <a:effectLst>
            <a:softEdge rad="0"/>
          </a:effectLst>
        </c:spPr>
      </c:pivotFmt>
      <c:pivotFmt>
        <c:idx val="3"/>
        <c:spPr>
          <a:solidFill>
            <a:srgbClr val="EA64E0"/>
          </a:solidFill>
          <a:ln>
            <a:solidFill>
              <a:schemeClr val="bg1"/>
            </a:solidFill>
          </a:ln>
          <a:effectLst>
            <a:softEdge rad="0"/>
          </a:effectLst>
        </c:spPr>
      </c:pivotFmt>
      <c:pivotFmt>
        <c:idx val="4"/>
        <c:spPr>
          <a:solidFill>
            <a:srgbClr val="FF0000"/>
          </a:solidFill>
          <a:ln>
            <a:solidFill>
              <a:schemeClr val="bg1"/>
            </a:solidFill>
          </a:ln>
          <a:effectLst>
            <a:softEdge rad="0"/>
          </a:effectLst>
        </c:spPr>
      </c:pivotFmt>
      <c:pivotFmt>
        <c:idx val="5"/>
        <c:spPr>
          <a:solidFill>
            <a:srgbClr val="79E1E1"/>
          </a:solidFill>
          <a:ln>
            <a:solidFill>
              <a:schemeClr val="bg1"/>
            </a:solidFill>
          </a:ln>
          <a:effectLst>
            <a:softEdge rad="0"/>
          </a:effectLst>
        </c:spPr>
      </c:pivotFmt>
      <c:pivotFmt>
        <c:idx val="6"/>
        <c:spPr>
          <a:solidFill>
            <a:srgbClr val="FFC000"/>
          </a:solidFill>
          <a:ln>
            <a:solidFill>
              <a:schemeClr val="bg1"/>
            </a:solidFill>
          </a:ln>
          <a:effectLst>
            <a:softEdge rad="0"/>
          </a:effectLst>
        </c:spPr>
      </c:pivotFmt>
      <c:pivotFmt>
        <c:idx val="7"/>
        <c:spPr>
          <a:solidFill>
            <a:schemeClr val="accent1"/>
          </a:solidFill>
          <a:ln>
            <a:solidFill>
              <a:schemeClr val="bg1"/>
            </a:solidFill>
          </a:ln>
          <a:effectLst>
            <a:softEdge rad="0"/>
          </a:effectLst>
        </c:spPr>
      </c:pivotFmt>
      <c:pivotFmt>
        <c:idx val="8"/>
        <c:spPr>
          <a:solidFill>
            <a:schemeClr val="accent1"/>
          </a:solidFill>
          <a:ln>
            <a:solidFill>
              <a:schemeClr val="bg1"/>
            </a:solidFill>
          </a:ln>
          <a:effectLst>
            <a:softEdge rad="0"/>
          </a:effectLst>
        </c:spPr>
      </c:pivotFmt>
      <c:pivotFmt>
        <c:idx val="9"/>
        <c:spPr>
          <a:solidFill>
            <a:schemeClr val="accent1"/>
          </a:solidFill>
          <a:ln>
            <a:solidFill>
              <a:schemeClr val="bg1"/>
            </a:solidFill>
          </a:ln>
          <a:effectLst>
            <a:softEdge rad="0"/>
          </a:effectLst>
        </c:spPr>
      </c:pivotFmt>
      <c:pivotFmt>
        <c:idx val="10"/>
        <c:spPr>
          <a:solidFill>
            <a:schemeClr val="accent1"/>
          </a:solidFill>
          <a:ln>
            <a:solidFill>
              <a:schemeClr val="bg1"/>
            </a:solidFill>
          </a:ln>
          <a:effectLst>
            <a:softEdge rad="0"/>
          </a:effectLst>
        </c:spPr>
      </c:pivotFmt>
    </c:pivotFmts>
    <c:plotArea>
      <c:layout>
        <c:manualLayout>
          <c:layoutTarget val="inner"/>
          <c:xMode val="edge"/>
          <c:yMode val="edge"/>
          <c:x val="0.44771681910819583"/>
          <c:y val="0.26245639765700207"/>
          <c:w val="0.4991787959810508"/>
          <c:h val="0.63048215769775995"/>
        </c:manualLayout>
      </c:layout>
      <c:barChart>
        <c:barDir val="bar"/>
        <c:grouping val="clustered"/>
        <c:varyColors val="1"/>
        <c:ser>
          <c:idx val="0"/>
          <c:order val="0"/>
          <c:tx>
            <c:strRef>
              <c:f>Jobs_industrywise!$B$3</c:f>
              <c:strCache>
                <c:ptCount val="1"/>
                <c:pt idx="0">
                  <c:v>Total</c:v>
                </c:pt>
              </c:strCache>
            </c:strRef>
          </c:tx>
          <c:spPr>
            <a:ln>
              <a:solidFill>
                <a:schemeClr val="bg1"/>
              </a:solidFill>
            </a:ln>
            <a:effectLst>
              <a:softEdge rad="0"/>
            </a:effectLst>
          </c:spPr>
          <c:invertIfNegative val="0"/>
          <c:dPt>
            <c:idx val="0"/>
            <c:invertIfNegative val="0"/>
            <c:bubble3D val="0"/>
            <c:spPr>
              <a:solidFill>
                <a:srgbClr val="79E1E1"/>
              </a:solidFill>
              <a:ln>
                <a:solidFill>
                  <a:schemeClr val="bg1"/>
                </a:solidFill>
              </a:ln>
              <a:effectLst>
                <a:softEdge rad="0"/>
              </a:effectLst>
            </c:spPr>
            <c:extLst>
              <c:ext xmlns:c16="http://schemas.microsoft.com/office/drawing/2014/chart" uri="{C3380CC4-5D6E-409C-BE32-E72D297353CC}">
                <c16:uniqueId val="{00000007-A34D-45DE-A8C0-76BE97268BD5}"/>
              </c:ext>
            </c:extLst>
          </c:dPt>
          <c:dPt>
            <c:idx val="1"/>
            <c:invertIfNegative val="0"/>
            <c:bubble3D val="0"/>
            <c:spPr>
              <a:solidFill>
                <a:schemeClr val="accent2"/>
              </a:solidFill>
              <a:ln>
                <a:solidFill>
                  <a:schemeClr val="bg1"/>
                </a:solidFill>
              </a:ln>
              <a:effectLst>
                <a:softEdge rad="0"/>
              </a:effectLst>
            </c:spPr>
            <c:extLst>
              <c:ext xmlns:c16="http://schemas.microsoft.com/office/drawing/2014/chart" uri="{C3380CC4-5D6E-409C-BE32-E72D297353CC}">
                <c16:uniqueId val="{00000003-9853-45FB-8A85-3DE4EE50289E}"/>
              </c:ext>
            </c:extLst>
          </c:dPt>
          <c:dPt>
            <c:idx val="2"/>
            <c:invertIfNegative val="0"/>
            <c:bubble3D val="0"/>
            <c:spPr>
              <a:solidFill>
                <a:schemeClr val="accent3"/>
              </a:solidFill>
              <a:ln>
                <a:solidFill>
                  <a:schemeClr val="bg1"/>
                </a:solidFill>
              </a:ln>
              <a:effectLst>
                <a:softEdge rad="0"/>
              </a:effectLst>
            </c:spPr>
            <c:extLst>
              <c:ext xmlns:c16="http://schemas.microsoft.com/office/drawing/2014/chart" uri="{C3380CC4-5D6E-409C-BE32-E72D297353CC}">
                <c16:uniqueId val="{00000005-9853-45FB-8A85-3DE4EE50289E}"/>
              </c:ext>
            </c:extLst>
          </c:dPt>
          <c:dPt>
            <c:idx val="3"/>
            <c:invertIfNegative val="0"/>
            <c:bubble3D val="0"/>
            <c:spPr>
              <a:solidFill>
                <a:srgbClr val="FFC000"/>
              </a:solidFill>
              <a:ln>
                <a:solidFill>
                  <a:schemeClr val="bg1"/>
                </a:solidFill>
              </a:ln>
              <a:effectLst>
                <a:softEdge rad="0"/>
              </a:effectLst>
            </c:spPr>
            <c:extLst>
              <c:ext xmlns:c16="http://schemas.microsoft.com/office/drawing/2014/chart" uri="{C3380CC4-5D6E-409C-BE32-E72D297353CC}">
                <c16:uniqueId val="{00000008-A34D-45DE-A8C0-76BE97268BD5}"/>
              </c:ext>
            </c:extLst>
          </c:dPt>
          <c:dPt>
            <c:idx val="4"/>
            <c:invertIfNegative val="0"/>
            <c:bubble3D val="0"/>
            <c:spPr>
              <a:solidFill>
                <a:srgbClr val="EA64E0"/>
              </a:solidFill>
              <a:ln>
                <a:solidFill>
                  <a:schemeClr val="bg1"/>
                </a:solidFill>
              </a:ln>
              <a:effectLst>
                <a:softEdge rad="0"/>
              </a:effectLst>
            </c:spPr>
            <c:extLst>
              <c:ext xmlns:c16="http://schemas.microsoft.com/office/drawing/2014/chart" uri="{C3380CC4-5D6E-409C-BE32-E72D297353CC}">
                <c16:uniqueId val="{00000005-A34D-45DE-A8C0-76BE97268BD5}"/>
              </c:ext>
            </c:extLst>
          </c:dPt>
          <c:dPt>
            <c:idx val="5"/>
            <c:invertIfNegative val="0"/>
            <c:bubble3D val="0"/>
            <c:spPr>
              <a:solidFill>
                <a:schemeClr val="accent6"/>
              </a:solidFill>
              <a:ln>
                <a:solidFill>
                  <a:schemeClr val="bg1"/>
                </a:solidFill>
              </a:ln>
              <a:effectLst>
                <a:softEdge rad="0"/>
              </a:effectLst>
            </c:spPr>
            <c:extLst>
              <c:ext xmlns:c16="http://schemas.microsoft.com/office/drawing/2014/chart" uri="{C3380CC4-5D6E-409C-BE32-E72D297353CC}">
                <c16:uniqueId val="{0000000B-9853-45FB-8A85-3DE4EE50289E}"/>
              </c:ext>
            </c:extLst>
          </c:dPt>
          <c:dPt>
            <c:idx val="6"/>
            <c:invertIfNegative val="0"/>
            <c:bubble3D val="0"/>
            <c:spPr>
              <a:solidFill>
                <a:schemeClr val="accent1">
                  <a:lumMod val="60000"/>
                </a:schemeClr>
              </a:solidFill>
              <a:ln>
                <a:solidFill>
                  <a:schemeClr val="bg1"/>
                </a:solidFill>
              </a:ln>
              <a:effectLst>
                <a:softEdge rad="0"/>
              </a:effectLst>
            </c:spPr>
            <c:extLst>
              <c:ext xmlns:c16="http://schemas.microsoft.com/office/drawing/2014/chart" uri="{C3380CC4-5D6E-409C-BE32-E72D297353CC}">
                <c16:uniqueId val="{0000000D-9853-45FB-8A85-3DE4EE50289E}"/>
              </c:ext>
            </c:extLst>
          </c:dPt>
          <c:dPt>
            <c:idx val="7"/>
            <c:invertIfNegative val="0"/>
            <c:bubble3D val="0"/>
            <c:spPr>
              <a:solidFill>
                <a:srgbClr val="FF0000"/>
              </a:solidFill>
              <a:ln>
                <a:solidFill>
                  <a:schemeClr val="bg1"/>
                </a:solidFill>
              </a:ln>
              <a:effectLst>
                <a:softEdge rad="0"/>
              </a:effectLst>
            </c:spPr>
            <c:extLst>
              <c:ext xmlns:c16="http://schemas.microsoft.com/office/drawing/2014/chart" uri="{C3380CC4-5D6E-409C-BE32-E72D297353CC}">
                <c16:uniqueId val="{00000006-A34D-45DE-A8C0-76BE97268BD5}"/>
              </c:ext>
            </c:extLst>
          </c:dPt>
          <c:dPt>
            <c:idx val="8"/>
            <c:invertIfNegative val="0"/>
            <c:bubble3D val="0"/>
            <c:spPr>
              <a:solidFill>
                <a:srgbClr val="00B0F0"/>
              </a:solidFill>
              <a:ln>
                <a:solidFill>
                  <a:schemeClr val="bg1"/>
                </a:solidFill>
              </a:ln>
              <a:effectLst>
                <a:softEdge rad="0"/>
              </a:effectLst>
            </c:spPr>
            <c:extLst>
              <c:ext xmlns:c16="http://schemas.microsoft.com/office/drawing/2014/chart" uri="{C3380CC4-5D6E-409C-BE32-E72D297353CC}">
                <c16:uniqueId val="{00000003-A34D-45DE-A8C0-76BE97268BD5}"/>
              </c:ext>
            </c:extLst>
          </c:dPt>
          <c:dPt>
            <c:idx val="9"/>
            <c:invertIfNegative val="0"/>
            <c:bubble3D val="0"/>
            <c:spPr>
              <a:solidFill>
                <a:srgbClr val="FFFF00"/>
              </a:solidFill>
              <a:ln>
                <a:solidFill>
                  <a:schemeClr val="bg1"/>
                </a:solidFill>
              </a:ln>
              <a:effectLst>
                <a:softEdge rad="0"/>
              </a:effectLst>
            </c:spPr>
            <c:extLst>
              <c:ext xmlns:c16="http://schemas.microsoft.com/office/drawing/2014/chart" uri="{C3380CC4-5D6E-409C-BE32-E72D297353CC}">
                <c16:uniqueId val="{00000004-A34D-45DE-A8C0-76BE97268BD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Jobs_industrywise!$A$4:$A$14</c:f>
              <c:strCache>
                <c:ptCount val="10"/>
                <c:pt idx="0">
                  <c:v>Technology Hardware</c:v>
                </c:pt>
                <c:pt idx="1">
                  <c:v>Finance Technology</c:v>
                </c:pt>
                <c:pt idx="2">
                  <c:v>Agriculture</c:v>
                </c:pt>
                <c:pt idx="3">
                  <c:v>Human Resources</c:v>
                </c:pt>
                <c:pt idx="4">
                  <c:v>Food and Beverages</c:v>
                </c:pt>
                <c:pt idx="5">
                  <c:v>Construction</c:v>
                </c:pt>
                <c:pt idx="6">
                  <c:v>Education</c:v>
                </c:pt>
                <c:pt idx="7">
                  <c:v>Professional and Commercial Services</c:v>
                </c:pt>
                <c:pt idx="8">
                  <c:v>Healthcare and Lifesciences</c:v>
                </c:pt>
                <c:pt idx="9">
                  <c:v>IT Services</c:v>
                </c:pt>
              </c:strCache>
            </c:strRef>
          </c:cat>
          <c:val>
            <c:numRef>
              <c:f>Jobs_industrywise!$B$4:$B$14</c:f>
              <c:numCache>
                <c:formatCode>General</c:formatCode>
                <c:ptCount val="10"/>
                <c:pt idx="0">
                  <c:v>50894</c:v>
                </c:pt>
                <c:pt idx="1">
                  <c:v>56819</c:v>
                </c:pt>
                <c:pt idx="2">
                  <c:v>83307</c:v>
                </c:pt>
                <c:pt idx="3">
                  <c:v>87983</c:v>
                </c:pt>
                <c:pt idx="4">
                  <c:v>88468</c:v>
                </c:pt>
                <c:pt idx="5">
                  <c:v>88702</c:v>
                </c:pt>
                <c:pt idx="6">
                  <c:v>90414</c:v>
                </c:pt>
                <c:pt idx="7">
                  <c:v>94060</c:v>
                </c:pt>
                <c:pt idx="8">
                  <c:v>147639</c:v>
                </c:pt>
                <c:pt idx="9">
                  <c:v>204119</c:v>
                </c:pt>
              </c:numCache>
            </c:numRef>
          </c:val>
          <c:extLst>
            <c:ext xmlns:c16="http://schemas.microsoft.com/office/drawing/2014/chart" uri="{C3380CC4-5D6E-409C-BE32-E72D297353CC}">
              <c16:uniqueId val="{00000000-A34D-45DE-A8C0-76BE97268BD5}"/>
            </c:ext>
          </c:extLst>
        </c:ser>
        <c:dLbls>
          <c:dLblPos val="outEnd"/>
          <c:showLegendKey val="0"/>
          <c:showVal val="1"/>
          <c:showCatName val="0"/>
          <c:showSerName val="0"/>
          <c:showPercent val="0"/>
          <c:showBubbleSize val="0"/>
        </c:dLbls>
        <c:gapWidth val="182"/>
        <c:axId val="1734097327"/>
        <c:axId val="1734097807"/>
      </c:barChart>
      <c:catAx>
        <c:axId val="1734097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4097807"/>
        <c:crosses val="autoZero"/>
        <c:auto val="1"/>
        <c:lblAlgn val="ctr"/>
        <c:lblOffset val="100"/>
        <c:noMultiLvlLbl val="0"/>
      </c:catAx>
      <c:valAx>
        <c:axId val="173409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409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India.xlsx]jobs_stateswise!PivotTable1</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Jobs</a:t>
            </a:r>
            <a:r>
              <a:rPr lang="en-IN" b="1" baseline="0">
                <a:solidFill>
                  <a:srgbClr val="002060"/>
                </a:solidFill>
              </a:rPr>
              <a:t> Created by Top 5 States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2362"/>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624781277340328"/>
          <c:w val="0.69752537182852148"/>
          <c:h val="0.52392424905220181"/>
        </c:manualLayout>
      </c:layout>
      <c:barChart>
        <c:barDir val="col"/>
        <c:grouping val="clustered"/>
        <c:varyColors val="0"/>
        <c:ser>
          <c:idx val="0"/>
          <c:order val="0"/>
          <c:tx>
            <c:strRef>
              <c:f>jobs_stateswise!$B$3</c:f>
              <c:strCache>
                <c:ptCount val="1"/>
                <c:pt idx="0">
                  <c:v>Sum of 2019</c:v>
                </c:pt>
              </c:strCache>
            </c:strRef>
          </c:tx>
          <c:spPr>
            <a:solidFill>
              <a:srgbClr val="00B050"/>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jobs_stateswise!$B$4:$B$8</c:f>
              <c:numCache>
                <c:formatCode>General</c:formatCode>
                <c:ptCount val="5"/>
                <c:pt idx="0">
                  <c:v>21979</c:v>
                </c:pt>
                <c:pt idx="1">
                  <c:v>13862</c:v>
                </c:pt>
                <c:pt idx="2">
                  <c:v>20256</c:v>
                </c:pt>
                <c:pt idx="3">
                  <c:v>8823</c:v>
                </c:pt>
                <c:pt idx="4">
                  <c:v>9990</c:v>
                </c:pt>
              </c:numCache>
            </c:numRef>
          </c:val>
          <c:extLst>
            <c:ext xmlns:c16="http://schemas.microsoft.com/office/drawing/2014/chart" uri="{C3380CC4-5D6E-409C-BE32-E72D297353CC}">
              <c16:uniqueId val="{00000000-4E01-4F59-8677-2FA9FB99CB38}"/>
            </c:ext>
          </c:extLst>
        </c:ser>
        <c:ser>
          <c:idx val="1"/>
          <c:order val="1"/>
          <c:tx>
            <c:strRef>
              <c:f>jobs_stateswise!$C$3</c:f>
              <c:strCache>
                <c:ptCount val="1"/>
                <c:pt idx="0">
                  <c:v>Sum of 2020</c:v>
                </c:pt>
              </c:strCache>
            </c:strRef>
          </c:tx>
          <c:spPr>
            <a:solidFill>
              <a:srgbClr val="FF0000"/>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jobs_stateswise!$C$4:$C$8</c:f>
              <c:numCache>
                <c:formatCode>General</c:formatCode>
                <c:ptCount val="5"/>
                <c:pt idx="0">
                  <c:v>29133</c:v>
                </c:pt>
                <c:pt idx="1">
                  <c:v>17638</c:v>
                </c:pt>
                <c:pt idx="2">
                  <c:v>23767</c:v>
                </c:pt>
                <c:pt idx="3">
                  <c:v>13226</c:v>
                </c:pt>
                <c:pt idx="4">
                  <c:v>10515</c:v>
                </c:pt>
              </c:numCache>
            </c:numRef>
          </c:val>
          <c:extLst>
            <c:ext xmlns:c16="http://schemas.microsoft.com/office/drawing/2014/chart" uri="{C3380CC4-5D6E-409C-BE32-E72D297353CC}">
              <c16:uniqueId val="{00000001-4E01-4F59-8677-2FA9FB99CB38}"/>
            </c:ext>
          </c:extLst>
        </c:ser>
        <c:ser>
          <c:idx val="2"/>
          <c:order val="2"/>
          <c:tx>
            <c:strRef>
              <c:f>jobs_stateswise!$D$3</c:f>
              <c:strCache>
                <c:ptCount val="1"/>
                <c:pt idx="0">
                  <c:v>Sum of 2021</c:v>
                </c:pt>
              </c:strCache>
            </c:strRef>
          </c:tx>
          <c:spPr>
            <a:solidFill>
              <a:srgbClr val="672362"/>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jobs_stateswise!$D$4:$D$8</c:f>
              <c:numCache>
                <c:formatCode>General</c:formatCode>
                <c:ptCount val="5"/>
                <c:pt idx="0">
                  <c:v>38354</c:v>
                </c:pt>
                <c:pt idx="1">
                  <c:v>22231</c:v>
                </c:pt>
                <c:pt idx="2">
                  <c:v>20812</c:v>
                </c:pt>
                <c:pt idx="3">
                  <c:v>18812</c:v>
                </c:pt>
                <c:pt idx="4">
                  <c:v>10006</c:v>
                </c:pt>
              </c:numCache>
            </c:numRef>
          </c:val>
          <c:extLst>
            <c:ext xmlns:c16="http://schemas.microsoft.com/office/drawing/2014/chart" uri="{C3380CC4-5D6E-409C-BE32-E72D297353CC}">
              <c16:uniqueId val="{00000002-4E01-4F59-8677-2FA9FB99CB38}"/>
            </c:ext>
          </c:extLst>
        </c:ser>
        <c:ser>
          <c:idx val="3"/>
          <c:order val="3"/>
          <c:tx>
            <c:strRef>
              <c:f>jobs_stateswise!$E$3</c:f>
              <c:strCache>
                <c:ptCount val="1"/>
                <c:pt idx="0">
                  <c:v>Sum of 2022</c:v>
                </c:pt>
              </c:strCache>
            </c:strRef>
          </c:tx>
          <c:spPr>
            <a:solidFill>
              <a:schemeClr val="accent4"/>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jobs_stateswise!$E$4:$E$8</c:f>
              <c:numCache>
                <c:formatCode>General</c:formatCode>
                <c:ptCount val="5"/>
                <c:pt idx="0">
                  <c:v>50913</c:v>
                </c:pt>
                <c:pt idx="1">
                  <c:v>29955</c:v>
                </c:pt>
                <c:pt idx="2">
                  <c:v>24544</c:v>
                </c:pt>
                <c:pt idx="3">
                  <c:v>22673</c:v>
                </c:pt>
                <c:pt idx="4">
                  <c:v>13694</c:v>
                </c:pt>
              </c:numCache>
            </c:numRef>
          </c:val>
          <c:extLst>
            <c:ext xmlns:c16="http://schemas.microsoft.com/office/drawing/2014/chart" uri="{C3380CC4-5D6E-409C-BE32-E72D297353CC}">
              <c16:uniqueId val="{00000003-4E01-4F59-8677-2FA9FB99CB38}"/>
            </c:ext>
          </c:extLst>
        </c:ser>
        <c:ser>
          <c:idx val="4"/>
          <c:order val="4"/>
          <c:tx>
            <c:strRef>
              <c:f>jobs_stateswise!$F$3</c:f>
              <c:strCache>
                <c:ptCount val="1"/>
                <c:pt idx="0">
                  <c:v>Sum of 2023</c:v>
                </c:pt>
              </c:strCache>
            </c:strRef>
          </c:tx>
          <c:spPr>
            <a:solidFill>
              <a:schemeClr val="accent5"/>
            </a:solidFill>
            <a:ln>
              <a:solidFill>
                <a:srgbClr val="FFFFFF"/>
              </a:solidFill>
            </a:ln>
            <a:effectLst/>
          </c:spPr>
          <c:invertIfNegative val="0"/>
          <c:cat>
            <c:strRef>
              <c:f>jobs_stateswise!$A$4:$A$8</c:f>
              <c:strCache>
                <c:ptCount val="5"/>
                <c:pt idx="0">
                  <c:v>Maharashtra</c:v>
                </c:pt>
                <c:pt idx="1">
                  <c:v>Delhi</c:v>
                </c:pt>
                <c:pt idx="2">
                  <c:v>Karnataka</c:v>
                </c:pt>
                <c:pt idx="3">
                  <c:v>Uttar Pradesh</c:v>
                </c:pt>
                <c:pt idx="4">
                  <c:v>Haryana</c:v>
                </c:pt>
              </c:strCache>
            </c:strRef>
          </c:cat>
          <c:val>
            <c:numRef>
              <c:f>jobs_stateswise!$F$4:$F$8</c:f>
              <c:numCache>
                <c:formatCode>General</c:formatCode>
                <c:ptCount val="5"/>
                <c:pt idx="0">
                  <c:v>64974</c:v>
                </c:pt>
                <c:pt idx="1">
                  <c:v>38280</c:v>
                </c:pt>
                <c:pt idx="2">
                  <c:v>35066</c:v>
                </c:pt>
                <c:pt idx="3">
                  <c:v>33831</c:v>
                </c:pt>
                <c:pt idx="4">
                  <c:v>26021</c:v>
                </c:pt>
              </c:numCache>
            </c:numRef>
          </c:val>
          <c:extLst>
            <c:ext xmlns:c16="http://schemas.microsoft.com/office/drawing/2014/chart" uri="{C3380CC4-5D6E-409C-BE32-E72D297353CC}">
              <c16:uniqueId val="{00000004-4E01-4F59-8677-2FA9FB99CB38}"/>
            </c:ext>
          </c:extLst>
        </c:ser>
        <c:dLbls>
          <c:showLegendKey val="0"/>
          <c:showVal val="0"/>
          <c:showCatName val="0"/>
          <c:showSerName val="0"/>
          <c:showPercent val="0"/>
          <c:showBubbleSize val="0"/>
        </c:dLbls>
        <c:gapWidth val="219"/>
        <c:overlap val="-27"/>
        <c:axId val="1842573407"/>
        <c:axId val="1842571487"/>
      </c:barChart>
      <c:catAx>
        <c:axId val="184257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2571487"/>
        <c:crosses val="autoZero"/>
        <c:auto val="1"/>
        <c:lblAlgn val="ctr"/>
        <c:lblOffset val="100"/>
        <c:noMultiLvlLbl val="0"/>
      </c:catAx>
      <c:valAx>
        <c:axId val="1842571487"/>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257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[Statup Growth In India.xlsx]startups!PivotTable2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Growth</a:t>
            </a:r>
            <a:r>
              <a:rPr lang="en-IN" sz="1200" b="1" baseline="0">
                <a:solidFill>
                  <a:srgbClr val="002060"/>
                </a:solidFill>
              </a:rPr>
              <a:t> Trend of Startups Year wise of Top States</a:t>
            </a:r>
            <a:endParaRPr lang="en-IN" sz="1200" b="1">
              <a:solidFill>
                <a:srgbClr val="00206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FFFFFF"/>
            </a:solidFill>
          </a:ln>
          <a:effectLst/>
        </c:spPr>
      </c:pivotFmt>
    </c:pivotFmts>
    <c:plotArea>
      <c:layout>
        <c:manualLayout>
          <c:layoutTarget val="inner"/>
          <c:xMode val="edge"/>
          <c:yMode val="edge"/>
          <c:x val="9.1914260717410323E-2"/>
          <c:y val="0.30923554959217542"/>
          <c:w val="0.70463648293963255"/>
          <c:h val="0.44877864482186364"/>
        </c:manualLayout>
      </c:layout>
      <c:barChart>
        <c:barDir val="col"/>
        <c:grouping val="clustered"/>
        <c:varyColors val="0"/>
        <c:ser>
          <c:idx val="0"/>
          <c:order val="0"/>
          <c:tx>
            <c:strRef>
              <c:f>startups!$B$3</c:f>
              <c:strCache>
                <c:ptCount val="1"/>
                <c:pt idx="0">
                  <c:v>Sum of 2019</c:v>
                </c:pt>
              </c:strCache>
            </c:strRef>
          </c:tx>
          <c:spPr>
            <a:solidFill>
              <a:srgbClr val="7030A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startups!$B$4:$B$8</c:f>
              <c:numCache>
                <c:formatCode>General</c:formatCode>
                <c:ptCount val="5"/>
                <c:pt idx="0">
                  <c:v>1987</c:v>
                </c:pt>
                <c:pt idx="1">
                  <c:v>807</c:v>
                </c:pt>
                <c:pt idx="2">
                  <c:v>1302</c:v>
                </c:pt>
                <c:pt idx="3">
                  <c:v>1566</c:v>
                </c:pt>
                <c:pt idx="4">
                  <c:v>658</c:v>
                </c:pt>
              </c:numCache>
            </c:numRef>
          </c:val>
          <c:extLst>
            <c:ext xmlns:c16="http://schemas.microsoft.com/office/drawing/2014/chart" uri="{C3380CC4-5D6E-409C-BE32-E72D297353CC}">
              <c16:uniqueId val="{00000000-733C-423A-8FED-E480571ADF75}"/>
            </c:ext>
          </c:extLst>
        </c:ser>
        <c:ser>
          <c:idx val="1"/>
          <c:order val="1"/>
          <c:tx>
            <c:strRef>
              <c:f>startups!$C$3</c:f>
              <c:strCache>
                <c:ptCount val="1"/>
                <c:pt idx="0">
                  <c:v>Sum of 2020</c:v>
                </c:pt>
              </c:strCache>
            </c:strRef>
          </c:tx>
          <c:spPr>
            <a:solidFill>
              <a:srgbClr val="FF000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startups!$C$4:$C$8</c:f>
              <c:numCache>
                <c:formatCode>General</c:formatCode>
                <c:ptCount val="5"/>
                <c:pt idx="0">
                  <c:v>2531</c:v>
                </c:pt>
                <c:pt idx="1">
                  <c:v>1290</c:v>
                </c:pt>
                <c:pt idx="2">
                  <c:v>1711</c:v>
                </c:pt>
                <c:pt idx="3">
                  <c:v>1648</c:v>
                </c:pt>
                <c:pt idx="4">
                  <c:v>787</c:v>
                </c:pt>
              </c:numCache>
            </c:numRef>
          </c:val>
          <c:extLst>
            <c:ext xmlns:c16="http://schemas.microsoft.com/office/drawing/2014/chart" uri="{C3380CC4-5D6E-409C-BE32-E72D297353CC}">
              <c16:uniqueId val="{00000001-733C-423A-8FED-E480571ADF75}"/>
            </c:ext>
          </c:extLst>
        </c:ser>
        <c:ser>
          <c:idx val="2"/>
          <c:order val="2"/>
          <c:tx>
            <c:strRef>
              <c:f>startups!$D$3</c:f>
              <c:strCache>
                <c:ptCount val="1"/>
                <c:pt idx="0">
                  <c:v>Sum of 2021</c:v>
                </c:pt>
              </c:strCache>
            </c:strRef>
          </c:tx>
          <c:spPr>
            <a:solidFill>
              <a:schemeClr val="accent1">
                <a:lumMod val="50000"/>
              </a:schemeClr>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startups!$D$4:$D$8</c:f>
              <c:numCache>
                <c:formatCode>General</c:formatCode>
                <c:ptCount val="5"/>
                <c:pt idx="0">
                  <c:v>3552</c:v>
                </c:pt>
                <c:pt idx="1">
                  <c:v>1876</c:v>
                </c:pt>
                <c:pt idx="2">
                  <c:v>2129</c:v>
                </c:pt>
                <c:pt idx="3">
                  <c:v>2082</c:v>
                </c:pt>
                <c:pt idx="4">
                  <c:v>1036</c:v>
                </c:pt>
              </c:numCache>
            </c:numRef>
          </c:val>
          <c:extLst>
            <c:ext xmlns:c16="http://schemas.microsoft.com/office/drawing/2014/chart" uri="{C3380CC4-5D6E-409C-BE32-E72D297353CC}">
              <c16:uniqueId val="{00000002-733C-423A-8FED-E480571ADF75}"/>
            </c:ext>
          </c:extLst>
        </c:ser>
        <c:ser>
          <c:idx val="3"/>
          <c:order val="3"/>
          <c:tx>
            <c:strRef>
              <c:f>startups!$E$3</c:f>
              <c:strCache>
                <c:ptCount val="1"/>
                <c:pt idx="0">
                  <c:v>Sum of 2022</c:v>
                </c:pt>
              </c:strCache>
            </c:strRef>
          </c:tx>
          <c:spPr>
            <a:solidFill>
              <a:srgbClr val="FFFF0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startups!$E$4:$E$8</c:f>
              <c:numCache>
                <c:formatCode>General</c:formatCode>
                <c:ptCount val="5"/>
                <c:pt idx="0">
                  <c:v>4763</c:v>
                </c:pt>
                <c:pt idx="1">
                  <c:v>2554</c:v>
                </c:pt>
                <c:pt idx="2">
                  <c:v>2548</c:v>
                </c:pt>
                <c:pt idx="3">
                  <c:v>2546</c:v>
                </c:pt>
                <c:pt idx="4">
                  <c:v>1327</c:v>
                </c:pt>
              </c:numCache>
            </c:numRef>
          </c:val>
          <c:extLst>
            <c:ext xmlns:c16="http://schemas.microsoft.com/office/drawing/2014/chart" uri="{C3380CC4-5D6E-409C-BE32-E72D297353CC}">
              <c16:uniqueId val="{00000003-733C-423A-8FED-E480571ADF75}"/>
            </c:ext>
          </c:extLst>
        </c:ser>
        <c:ser>
          <c:idx val="4"/>
          <c:order val="4"/>
          <c:tx>
            <c:strRef>
              <c:f>startups!$F$3</c:f>
              <c:strCache>
                <c:ptCount val="1"/>
                <c:pt idx="0">
                  <c:v>Sum of 2023</c:v>
                </c:pt>
              </c:strCache>
            </c:strRef>
          </c:tx>
          <c:spPr>
            <a:solidFill>
              <a:srgbClr val="00B050"/>
            </a:solidFill>
            <a:ln>
              <a:solidFill>
                <a:srgbClr val="FFFFFF"/>
              </a:solidFill>
            </a:ln>
            <a:effectLst/>
          </c:spPr>
          <c:invertIfNegative val="0"/>
          <c:cat>
            <c:strRef>
              <c:f>startups!$A$4:$A$8</c:f>
              <c:strCache>
                <c:ptCount val="5"/>
                <c:pt idx="0">
                  <c:v>Maharashtra</c:v>
                </c:pt>
                <c:pt idx="1">
                  <c:v>Uttar Pradesh</c:v>
                </c:pt>
                <c:pt idx="2">
                  <c:v>Delhi</c:v>
                </c:pt>
                <c:pt idx="3">
                  <c:v>Karnataka</c:v>
                </c:pt>
                <c:pt idx="4">
                  <c:v>Haryana</c:v>
                </c:pt>
              </c:strCache>
            </c:strRef>
          </c:cat>
          <c:val>
            <c:numRef>
              <c:f>startups!$F$4:$F$8</c:f>
              <c:numCache>
                <c:formatCode>General</c:formatCode>
                <c:ptCount val="5"/>
                <c:pt idx="0">
                  <c:v>5801</c:v>
                </c:pt>
                <c:pt idx="1">
                  <c:v>3426</c:v>
                </c:pt>
                <c:pt idx="2">
                  <c:v>3150</c:v>
                </c:pt>
                <c:pt idx="3">
                  <c:v>3032</c:v>
                </c:pt>
                <c:pt idx="4">
                  <c:v>1740</c:v>
                </c:pt>
              </c:numCache>
            </c:numRef>
          </c:val>
          <c:extLst>
            <c:ext xmlns:c16="http://schemas.microsoft.com/office/drawing/2014/chart" uri="{C3380CC4-5D6E-409C-BE32-E72D297353CC}">
              <c16:uniqueId val="{00000004-733C-423A-8FED-E480571ADF75}"/>
            </c:ext>
          </c:extLst>
        </c:ser>
        <c:dLbls>
          <c:showLegendKey val="0"/>
          <c:showVal val="0"/>
          <c:showCatName val="0"/>
          <c:showSerName val="0"/>
          <c:showPercent val="0"/>
          <c:showBubbleSize val="0"/>
        </c:dLbls>
        <c:gapWidth val="182"/>
        <c:axId val="2136826959"/>
        <c:axId val="2136810639"/>
      </c:barChart>
      <c:catAx>
        <c:axId val="213682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6810639"/>
        <c:crosses val="autoZero"/>
        <c:auto val="1"/>
        <c:lblAlgn val="ctr"/>
        <c:lblOffset val="100"/>
        <c:noMultiLvlLbl val="0"/>
      </c:catAx>
      <c:valAx>
        <c:axId val="213681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682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baseline="0">
                <a:solidFill>
                  <a:srgbClr val="002060"/>
                </a:solidFill>
              </a:rPr>
              <a:t>Growth Trend Year wise of Top 5 States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lotArea>
      <c:layout/>
      <c:lineChart>
        <c:grouping val="standard"/>
        <c:varyColors val="0"/>
        <c:ser>
          <c:idx val="0"/>
          <c:order val="0"/>
          <c:tx>
            <c:strRef>
              <c:f>startup_by_states!$A$2</c:f>
              <c:strCache>
                <c:ptCount val="1"/>
                <c:pt idx="0">
                  <c:v>Maharashtra</c:v>
                </c:pt>
              </c:strCache>
            </c:strRef>
          </c:tx>
          <c:spPr>
            <a:ln w="28575" cap="rnd">
              <a:solidFill>
                <a:srgbClr val="00B0F0"/>
              </a:solidFill>
              <a:round/>
            </a:ln>
            <a:effectLst/>
          </c:spPr>
          <c:marker>
            <c:symbol val="none"/>
          </c:marker>
          <c:cat>
            <c:strRef>
              <c:f>startup_by_states!$B$1:$F$1</c:f>
              <c:strCache>
                <c:ptCount val="5"/>
                <c:pt idx="0">
                  <c:v>2019</c:v>
                </c:pt>
                <c:pt idx="1">
                  <c:v>2020</c:v>
                </c:pt>
                <c:pt idx="2">
                  <c:v>2021</c:v>
                </c:pt>
                <c:pt idx="3">
                  <c:v>2022</c:v>
                </c:pt>
                <c:pt idx="4">
                  <c:v>2023</c:v>
                </c:pt>
              </c:strCache>
            </c:strRef>
          </c:cat>
          <c:val>
            <c:numRef>
              <c:f>startup_by_states!$B$2:$F$2</c:f>
              <c:numCache>
                <c:formatCode>General</c:formatCode>
                <c:ptCount val="5"/>
                <c:pt idx="0">
                  <c:v>1987</c:v>
                </c:pt>
                <c:pt idx="1">
                  <c:v>2531</c:v>
                </c:pt>
                <c:pt idx="2">
                  <c:v>3552</c:v>
                </c:pt>
                <c:pt idx="3">
                  <c:v>4763</c:v>
                </c:pt>
                <c:pt idx="4">
                  <c:v>5801</c:v>
                </c:pt>
              </c:numCache>
            </c:numRef>
          </c:val>
          <c:smooth val="0"/>
          <c:extLst>
            <c:ext xmlns:c16="http://schemas.microsoft.com/office/drawing/2014/chart" uri="{C3380CC4-5D6E-409C-BE32-E72D297353CC}">
              <c16:uniqueId val="{00000000-F26E-43F9-8F31-4CA03D17F642}"/>
            </c:ext>
          </c:extLst>
        </c:ser>
        <c:ser>
          <c:idx val="1"/>
          <c:order val="1"/>
          <c:tx>
            <c:strRef>
              <c:f>startup_by_states!$A$3</c:f>
              <c:strCache>
                <c:ptCount val="1"/>
                <c:pt idx="0">
                  <c:v>Karnataka</c:v>
                </c:pt>
              </c:strCache>
            </c:strRef>
          </c:tx>
          <c:spPr>
            <a:ln w="28575" cap="rnd">
              <a:solidFill>
                <a:srgbClr val="FFFF00"/>
              </a:solidFill>
              <a:round/>
            </a:ln>
            <a:effectLst/>
          </c:spPr>
          <c:marker>
            <c:symbol val="none"/>
          </c:marker>
          <c:cat>
            <c:strRef>
              <c:f>startup_by_states!$B$1:$F$1</c:f>
              <c:strCache>
                <c:ptCount val="5"/>
                <c:pt idx="0">
                  <c:v>2019</c:v>
                </c:pt>
                <c:pt idx="1">
                  <c:v>2020</c:v>
                </c:pt>
                <c:pt idx="2">
                  <c:v>2021</c:v>
                </c:pt>
                <c:pt idx="3">
                  <c:v>2022</c:v>
                </c:pt>
                <c:pt idx="4">
                  <c:v>2023</c:v>
                </c:pt>
              </c:strCache>
            </c:strRef>
          </c:cat>
          <c:val>
            <c:numRef>
              <c:f>startup_by_states!$B$3:$F$3</c:f>
              <c:numCache>
                <c:formatCode>General</c:formatCode>
                <c:ptCount val="5"/>
                <c:pt idx="0">
                  <c:v>1566</c:v>
                </c:pt>
                <c:pt idx="1">
                  <c:v>1648</c:v>
                </c:pt>
                <c:pt idx="2">
                  <c:v>2082</c:v>
                </c:pt>
                <c:pt idx="3">
                  <c:v>2546</c:v>
                </c:pt>
                <c:pt idx="4">
                  <c:v>3032</c:v>
                </c:pt>
              </c:numCache>
            </c:numRef>
          </c:val>
          <c:smooth val="0"/>
          <c:extLst>
            <c:ext xmlns:c16="http://schemas.microsoft.com/office/drawing/2014/chart" uri="{C3380CC4-5D6E-409C-BE32-E72D297353CC}">
              <c16:uniqueId val="{00000001-F26E-43F9-8F31-4CA03D17F642}"/>
            </c:ext>
          </c:extLst>
        </c:ser>
        <c:ser>
          <c:idx val="2"/>
          <c:order val="2"/>
          <c:tx>
            <c:strRef>
              <c:f>startup_by_states!$A$4</c:f>
              <c:strCache>
                <c:ptCount val="1"/>
                <c:pt idx="0">
                  <c:v>Delhi</c:v>
                </c:pt>
              </c:strCache>
            </c:strRef>
          </c:tx>
          <c:spPr>
            <a:ln w="28575" cap="rnd">
              <a:solidFill>
                <a:srgbClr val="672362"/>
              </a:solidFill>
              <a:round/>
            </a:ln>
            <a:effectLst/>
          </c:spPr>
          <c:marker>
            <c:symbol val="none"/>
          </c:marker>
          <c:cat>
            <c:strRef>
              <c:f>startup_by_states!$B$1:$F$1</c:f>
              <c:strCache>
                <c:ptCount val="5"/>
                <c:pt idx="0">
                  <c:v>2019</c:v>
                </c:pt>
                <c:pt idx="1">
                  <c:v>2020</c:v>
                </c:pt>
                <c:pt idx="2">
                  <c:v>2021</c:v>
                </c:pt>
                <c:pt idx="3">
                  <c:v>2022</c:v>
                </c:pt>
                <c:pt idx="4">
                  <c:v>2023</c:v>
                </c:pt>
              </c:strCache>
            </c:strRef>
          </c:cat>
          <c:val>
            <c:numRef>
              <c:f>startup_by_states!$B$4:$F$4</c:f>
              <c:numCache>
                <c:formatCode>General</c:formatCode>
                <c:ptCount val="5"/>
                <c:pt idx="0">
                  <c:v>1302</c:v>
                </c:pt>
                <c:pt idx="1">
                  <c:v>1711</c:v>
                </c:pt>
                <c:pt idx="2">
                  <c:v>2129</c:v>
                </c:pt>
                <c:pt idx="3">
                  <c:v>2548</c:v>
                </c:pt>
                <c:pt idx="4">
                  <c:v>3150</c:v>
                </c:pt>
              </c:numCache>
            </c:numRef>
          </c:val>
          <c:smooth val="0"/>
          <c:extLst>
            <c:ext xmlns:c16="http://schemas.microsoft.com/office/drawing/2014/chart" uri="{C3380CC4-5D6E-409C-BE32-E72D297353CC}">
              <c16:uniqueId val="{00000002-F26E-43F9-8F31-4CA03D17F642}"/>
            </c:ext>
          </c:extLst>
        </c:ser>
        <c:ser>
          <c:idx val="3"/>
          <c:order val="3"/>
          <c:tx>
            <c:strRef>
              <c:f>startup_by_states!$A$5</c:f>
              <c:strCache>
                <c:ptCount val="1"/>
                <c:pt idx="0">
                  <c:v>Uttar Pradesh</c:v>
                </c:pt>
              </c:strCache>
            </c:strRef>
          </c:tx>
          <c:spPr>
            <a:ln w="28575" cap="rnd">
              <a:solidFill>
                <a:schemeClr val="accent6"/>
              </a:solidFill>
              <a:round/>
            </a:ln>
            <a:effectLst/>
          </c:spPr>
          <c:marker>
            <c:symbol val="none"/>
          </c:marker>
          <c:cat>
            <c:strRef>
              <c:f>startup_by_states!$B$1:$F$1</c:f>
              <c:strCache>
                <c:ptCount val="5"/>
                <c:pt idx="0">
                  <c:v>2019</c:v>
                </c:pt>
                <c:pt idx="1">
                  <c:v>2020</c:v>
                </c:pt>
                <c:pt idx="2">
                  <c:v>2021</c:v>
                </c:pt>
                <c:pt idx="3">
                  <c:v>2022</c:v>
                </c:pt>
                <c:pt idx="4">
                  <c:v>2023</c:v>
                </c:pt>
              </c:strCache>
            </c:strRef>
          </c:cat>
          <c:val>
            <c:numRef>
              <c:f>startup_by_states!$B$5:$F$5</c:f>
              <c:numCache>
                <c:formatCode>General</c:formatCode>
                <c:ptCount val="5"/>
                <c:pt idx="0">
                  <c:v>807</c:v>
                </c:pt>
                <c:pt idx="1">
                  <c:v>1290</c:v>
                </c:pt>
                <c:pt idx="2">
                  <c:v>1876</c:v>
                </c:pt>
                <c:pt idx="3">
                  <c:v>2554</c:v>
                </c:pt>
                <c:pt idx="4">
                  <c:v>3426</c:v>
                </c:pt>
              </c:numCache>
            </c:numRef>
          </c:val>
          <c:smooth val="0"/>
          <c:extLst>
            <c:ext xmlns:c16="http://schemas.microsoft.com/office/drawing/2014/chart" uri="{C3380CC4-5D6E-409C-BE32-E72D297353CC}">
              <c16:uniqueId val="{00000003-F26E-43F9-8F31-4CA03D17F642}"/>
            </c:ext>
          </c:extLst>
        </c:ser>
        <c:ser>
          <c:idx val="4"/>
          <c:order val="4"/>
          <c:tx>
            <c:strRef>
              <c:f>startup_by_states!$A$6</c:f>
              <c:strCache>
                <c:ptCount val="1"/>
                <c:pt idx="0">
                  <c:v>Gujarat</c:v>
                </c:pt>
              </c:strCache>
            </c:strRef>
          </c:tx>
          <c:spPr>
            <a:ln w="28575" cap="rnd">
              <a:solidFill>
                <a:srgbClr val="FF0000"/>
              </a:solidFill>
              <a:round/>
            </a:ln>
            <a:effectLst/>
          </c:spPr>
          <c:marker>
            <c:symbol val="none"/>
          </c:marker>
          <c:cat>
            <c:strRef>
              <c:f>startup_by_states!$B$1:$F$1</c:f>
              <c:strCache>
                <c:ptCount val="5"/>
                <c:pt idx="0">
                  <c:v>2019</c:v>
                </c:pt>
                <c:pt idx="1">
                  <c:v>2020</c:v>
                </c:pt>
                <c:pt idx="2">
                  <c:v>2021</c:v>
                </c:pt>
                <c:pt idx="3">
                  <c:v>2022</c:v>
                </c:pt>
                <c:pt idx="4">
                  <c:v>2023</c:v>
                </c:pt>
              </c:strCache>
            </c:strRef>
          </c:cat>
          <c:val>
            <c:numRef>
              <c:f>startup_by_states!$B$6:$F$6</c:f>
              <c:numCache>
                <c:formatCode>General</c:formatCode>
                <c:ptCount val="5"/>
                <c:pt idx="0">
                  <c:v>565</c:v>
                </c:pt>
                <c:pt idx="1">
                  <c:v>846</c:v>
                </c:pt>
                <c:pt idx="2">
                  <c:v>1655</c:v>
                </c:pt>
                <c:pt idx="3">
                  <c:v>2262</c:v>
                </c:pt>
                <c:pt idx="4">
                  <c:v>3291</c:v>
                </c:pt>
              </c:numCache>
            </c:numRef>
          </c:val>
          <c:smooth val="0"/>
          <c:extLst>
            <c:ext xmlns:c16="http://schemas.microsoft.com/office/drawing/2014/chart" uri="{C3380CC4-5D6E-409C-BE32-E72D297353CC}">
              <c16:uniqueId val="{00000004-F26E-43F9-8F31-4CA03D17F642}"/>
            </c:ext>
          </c:extLst>
        </c:ser>
        <c:dLbls>
          <c:showLegendKey val="0"/>
          <c:showVal val="0"/>
          <c:showCatName val="0"/>
          <c:showSerName val="0"/>
          <c:showPercent val="0"/>
          <c:showBubbleSize val="0"/>
        </c:dLbls>
        <c:smooth val="0"/>
        <c:axId val="2080746879"/>
        <c:axId val="2080748319"/>
      </c:lineChart>
      <c:catAx>
        <c:axId val="20807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48319"/>
        <c:crosses val="autoZero"/>
        <c:auto val="1"/>
        <c:lblAlgn val="ctr"/>
        <c:lblOffset val="100"/>
        <c:noMultiLvlLbl val="0"/>
      </c:catAx>
      <c:valAx>
        <c:axId val="208074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07468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xdr:rowOff>
    </xdr:from>
    <xdr:to>
      <xdr:col>24</xdr:col>
      <xdr:colOff>600676</xdr:colOff>
      <xdr:row>4</xdr:row>
      <xdr:rowOff>145879</xdr:rowOff>
    </xdr:to>
    <xdr:sp macro="" textlink="">
      <xdr:nvSpPr>
        <xdr:cNvPr id="2" name="Rectangle 1">
          <a:extLst>
            <a:ext uri="{FF2B5EF4-FFF2-40B4-BE49-F238E27FC236}">
              <a16:creationId xmlns:a16="http://schemas.microsoft.com/office/drawing/2014/main" id="{3A2E2CB1-05A1-4BA6-A9B4-F27B4056355F}"/>
            </a:ext>
          </a:extLst>
        </xdr:cNvPr>
        <xdr:cNvSpPr/>
      </xdr:nvSpPr>
      <xdr:spPr>
        <a:xfrm>
          <a:off x="0" y="77231"/>
          <a:ext cx="15222838" cy="686486"/>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Startup Ecosystem Dashboard – India (2019–2023)</a:t>
          </a:r>
          <a:endParaRPr lang="en-IN" sz="4000">
            <a:solidFill>
              <a:schemeClr val="bg1"/>
            </a:solidFill>
          </a:endParaRPr>
        </a:p>
      </xdr:txBody>
    </xdr:sp>
    <xdr:clientData/>
  </xdr:twoCellAnchor>
  <xdr:twoCellAnchor>
    <xdr:from>
      <xdr:col>0</xdr:col>
      <xdr:colOff>17161</xdr:colOff>
      <xdr:row>4</xdr:row>
      <xdr:rowOff>180201</xdr:rowOff>
    </xdr:from>
    <xdr:to>
      <xdr:col>2</xdr:col>
      <xdr:colOff>454796</xdr:colOff>
      <xdr:row>9</xdr:row>
      <xdr:rowOff>111554</xdr:rowOff>
    </xdr:to>
    <xdr:sp macro="" textlink="">
      <xdr:nvSpPr>
        <xdr:cNvPr id="3" name="Rectangle 2">
          <a:extLst>
            <a:ext uri="{FF2B5EF4-FFF2-40B4-BE49-F238E27FC236}">
              <a16:creationId xmlns:a16="http://schemas.microsoft.com/office/drawing/2014/main" id="{A2680689-8D84-7A35-4A8D-ADDEEF206A3C}"/>
            </a:ext>
          </a:extLst>
        </xdr:cNvPr>
        <xdr:cNvSpPr/>
      </xdr:nvSpPr>
      <xdr:spPr>
        <a:xfrm>
          <a:off x="17161" y="798039"/>
          <a:ext cx="1656149" cy="832366"/>
        </a:xfrm>
        <a:prstGeom prst="rect">
          <a:avLst/>
        </a:prstGeom>
        <a:solidFill>
          <a:srgbClr val="D9C0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Startups</a:t>
          </a:r>
          <a:br>
            <a:rPr lang="en-IN" sz="1400" b="1">
              <a:solidFill>
                <a:srgbClr val="002060"/>
              </a:solidFill>
            </a:rPr>
          </a:br>
          <a:r>
            <a:rPr lang="en-IN" sz="1400" b="1">
              <a:solidFill>
                <a:srgbClr val="002060"/>
              </a:solidFill>
            </a:rPr>
            <a:t>104882</a:t>
          </a:r>
        </a:p>
      </xdr:txBody>
    </xdr:sp>
    <xdr:clientData/>
  </xdr:twoCellAnchor>
  <xdr:twoCellAnchor>
    <xdr:from>
      <xdr:col>16</xdr:col>
      <xdr:colOff>240270</xdr:colOff>
      <xdr:row>10</xdr:row>
      <xdr:rowOff>1</xdr:rowOff>
    </xdr:from>
    <xdr:to>
      <xdr:col>25</xdr:col>
      <xdr:colOff>8581</xdr:colOff>
      <xdr:row>26</xdr:row>
      <xdr:rowOff>171622</xdr:rowOff>
    </xdr:to>
    <xdr:graphicFrame macro="">
      <xdr:nvGraphicFramePr>
        <xdr:cNvPr id="4" name="Chart 3">
          <a:extLst>
            <a:ext uri="{FF2B5EF4-FFF2-40B4-BE49-F238E27FC236}">
              <a16:creationId xmlns:a16="http://schemas.microsoft.com/office/drawing/2014/main" id="{CA4C5BC6-1021-45FF-AFEB-E8219BC36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489121</xdr:colOff>
      <xdr:row>5</xdr:row>
      <xdr:rowOff>8581</xdr:rowOff>
    </xdr:from>
    <xdr:to>
      <xdr:col>5</xdr:col>
      <xdr:colOff>360406</xdr:colOff>
      <xdr:row>9</xdr:row>
      <xdr:rowOff>111554</xdr:rowOff>
    </xdr:to>
    <xdr:sp macro="" textlink="">
      <xdr:nvSpPr>
        <xdr:cNvPr id="7" name="Rectangle 6">
          <a:extLst>
            <a:ext uri="{FF2B5EF4-FFF2-40B4-BE49-F238E27FC236}">
              <a16:creationId xmlns:a16="http://schemas.microsoft.com/office/drawing/2014/main" id="{00586844-4CAC-4C46-9A84-8C958396DA50}"/>
            </a:ext>
          </a:extLst>
        </xdr:cNvPr>
        <xdr:cNvSpPr/>
      </xdr:nvSpPr>
      <xdr:spPr>
        <a:xfrm>
          <a:off x="1707635" y="806622"/>
          <a:ext cx="1699055" cy="823783"/>
        </a:xfrm>
        <a:prstGeom prst="rect">
          <a:avLst/>
        </a:prstGeom>
        <a:solidFill>
          <a:srgbClr val="D9C0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Jobs Created </a:t>
          </a:r>
          <a:br>
            <a:rPr lang="en-IN" sz="1400" b="1">
              <a:solidFill>
                <a:srgbClr val="002060"/>
              </a:solidFill>
            </a:rPr>
          </a:br>
          <a:r>
            <a:rPr lang="en-IN" sz="1400" b="1">
              <a:solidFill>
                <a:srgbClr val="002060"/>
              </a:solidFill>
            </a:rPr>
            <a:t>1125805</a:t>
          </a:r>
        </a:p>
      </xdr:txBody>
    </xdr:sp>
    <xdr:clientData/>
  </xdr:twoCellAnchor>
  <xdr:twoCellAnchor>
    <xdr:from>
      <xdr:col>5</xdr:col>
      <xdr:colOff>411893</xdr:colOff>
      <xdr:row>5</xdr:row>
      <xdr:rowOff>17163</xdr:rowOff>
    </xdr:from>
    <xdr:to>
      <xdr:col>8</xdr:col>
      <xdr:colOff>394731</xdr:colOff>
      <xdr:row>9</xdr:row>
      <xdr:rowOff>111555</xdr:rowOff>
    </xdr:to>
    <xdr:sp macro="" textlink="">
      <xdr:nvSpPr>
        <xdr:cNvPr id="9" name="Rectangle 8">
          <a:extLst>
            <a:ext uri="{FF2B5EF4-FFF2-40B4-BE49-F238E27FC236}">
              <a16:creationId xmlns:a16="http://schemas.microsoft.com/office/drawing/2014/main" id="{BF8CBF40-D6BA-4CA2-AE85-E01913443D5A}"/>
            </a:ext>
          </a:extLst>
        </xdr:cNvPr>
        <xdr:cNvSpPr/>
      </xdr:nvSpPr>
      <xdr:spPr>
        <a:xfrm>
          <a:off x="3458177" y="815204"/>
          <a:ext cx="1810608" cy="815202"/>
        </a:xfrm>
        <a:prstGeom prst="rect">
          <a:avLst/>
        </a:prstGeom>
        <a:solidFill>
          <a:srgbClr val="D9C0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a:t>
          </a:r>
          <a:r>
            <a:rPr lang="en-IN" sz="1400" b="1" baseline="0">
              <a:solidFill>
                <a:schemeClr val="tx1"/>
              </a:solidFill>
            </a:rPr>
            <a:t> Startup Per State</a:t>
          </a:r>
          <a:r>
            <a:rPr lang="en-IN" sz="1400" b="1">
              <a:solidFill>
                <a:schemeClr val="tx1"/>
              </a:solidFill>
            </a:rPr>
            <a:t> </a:t>
          </a:r>
          <a:br>
            <a:rPr lang="en-IN" sz="1400" b="1">
              <a:solidFill>
                <a:srgbClr val="002060"/>
              </a:solidFill>
            </a:rPr>
          </a:br>
          <a:r>
            <a:rPr lang="en-IN" sz="1400" b="1">
              <a:solidFill>
                <a:srgbClr val="002060"/>
              </a:solidFill>
            </a:rPr>
            <a:t>2913</a:t>
          </a:r>
        </a:p>
      </xdr:txBody>
    </xdr:sp>
    <xdr:clientData/>
  </xdr:twoCellAnchor>
  <xdr:twoCellAnchor editAs="oneCell">
    <xdr:from>
      <xdr:col>8</xdr:col>
      <xdr:colOff>480541</xdr:colOff>
      <xdr:row>5</xdr:row>
      <xdr:rowOff>17163</xdr:rowOff>
    </xdr:from>
    <xdr:to>
      <xdr:col>24</xdr:col>
      <xdr:colOff>592095</xdr:colOff>
      <xdr:row>9</xdr:row>
      <xdr:rowOff>120136</xdr:rowOff>
    </xdr:to>
    <mc:AlternateContent xmlns:mc="http://schemas.openxmlformats.org/markup-compatibility/2006" xmlns:a14="http://schemas.microsoft.com/office/drawing/2010/main">
      <mc:Choice Requires="a14">
        <xdr:graphicFrame macro="">
          <xdr:nvGraphicFramePr>
            <xdr:cNvPr id="13" name="States 1">
              <a:extLst>
                <a:ext uri="{FF2B5EF4-FFF2-40B4-BE49-F238E27FC236}">
                  <a16:creationId xmlns:a16="http://schemas.microsoft.com/office/drawing/2014/main" id="{45D3D790-F26D-47F7-979B-36CAEACBAA24}"/>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5362619" y="817098"/>
              <a:ext cx="9875710" cy="828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142039</xdr:colOff>
      <xdr:row>9</xdr:row>
      <xdr:rowOff>167106</xdr:rowOff>
    </xdr:from>
    <xdr:to>
      <xdr:col>16</xdr:col>
      <xdr:colOff>183816</xdr:colOff>
      <xdr:row>27</xdr:row>
      <xdr:rowOff>0</xdr:rowOff>
    </xdr:to>
    <xdr:graphicFrame macro="">
      <xdr:nvGraphicFramePr>
        <xdr:cNvPr id="8" name="Chart 7">
          <a:extLst>
            <a:ext uri="{FF2B5EF4-FFF2-40B4-BE49-F238E27FC236}">
              <a16:creationId xmlns:a16="http://schemas.microsoft.com/office/drawing/2014/main" id="{6F0C08E0-783F-4C4B-933E-27B513EB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25065</xdr:colOff>
      <xdr:row>9</xdr:row>
      <xdr:rowOff>167105</xdr:rowOff>
    </xdr:from>
    <xdr:to>
      <xdr:col>8</xdr:col>
      <xdr:colOff>50131</xdr:colOff>
      <xdr:row>27</xdr:row>
      <xdr:rowOff>8355</xdr:rowOff>
    </xdr:to>
    <xdr:graphicFrame macro="">
      <xdr:nvGraphicFramePr>
        <xdr:cNvPr id="10" name="Chart 9">
          <a:extLst>
            <a:ext uri="{FF2B5EF4-FFF2-40B4-BE49-F238E27FC236}">
              <a16:creationId xmlns:a16="http://schemas.microsoft.com/office/drawing/2014/main" id="{B0DF1C51-1E0B-4E55-BD90-98AE948C8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463550</xdr:colOff>
      <xdr:row>2</xdr:row>
      <xdr:rowOff>19051</xdr:rowOff>
    </xdr:from>
    <xdr:to>
      <xdr:col>14</xdr:col>
      <xdr:colOff>184150</xdr:colOff>
      <xdr:row>9</xdr:row>
      <xdr:rowOff>95250</xdr:rowOff>
    </xdr:to>
    <mc:AlternateContent xmlns:mc="http://schemas.openxmlformats.org/markup-compatibility/2006" xmlns:a14="http://schemas.microsoft.com/office/drawing/2010/main">
      <mc:Choice Requires="a14">
        <xdr:graphicFrame macro="">
          <xdr:nvGraphicFramePr>
            <xdr:cNvPr id="4" name="States">
              <a:extLst>
                <a:ext uri="{FF2B5EF4-FFF2-40B4-BE49-F238E27FC236}">
                  <a16:creationId xmlns:a16="http://schemas.microsoft.com/office/drawing/2014/main" id="{FAAB3522-5B42-D9B2-08E1-16BF27BA9437}"/>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6997700" y="387351"/>
              <a:ext cx="4597400" cy="1365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1874405</xdr:colOff>
      <xdr:row>14</xdr:row>
      <xdr:rowOff>170295</xdr:rowOff>
    </xdr:from>
    <xdr:to>
      <xdr:col>6</xdr:col>
      <xdr:colOff>40409</xdr:colOff>
      <xdr:row>29</xdr:row>
      <xdr:rowOff>151245</xdr:rowOff>
    </xdr:to>
    <xdr:graphicFrame macro="">
      <xdr:nvGraphicFramePr>
        <xdr:cNvPr id="2" name="Chart 1">
          <a:extLst>
            <a:ext uri="{FF2B5EF4-FFF2-40B4-BE49-F238E27FC236}">
              <a16:creationId xmlns:a16="http://schemas.microsoft.com/office/drawing/2014/main" id="{0DEC6AB5-0A97-ED54-5110-94995F974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622300</xdr:colOff>
      <xdr:row>9</xdr:row>
      <xdr:rowOff>165100</xdr:rowOff>
    </xdr:from>
    <xdr:to>
      <xdr:col>6</xdr:col>
      <xdr:colOff>457200</xdr:colOff>
      <xdr:row>24</xdr:row>
      <xdr:rowOff>146050</xdr:rowOff>
    </xdr:to>
    <xdr:graphicFrame macro="">
      <xdr:nvGraphicFramePr>
        <xdr:cNvPr id="2" name="Chart 1">
          <a:extLst>
            <a:ext uri="{FF2B5EF4-FFF2-40B4-BE49-F238E27FC236}">
              <a16:creationId xmlns:a16="http://schemas.microsoft.com/office/drawing/2014/main" id="{BC7F6A9A-9B39-0B52-B7FA-E5E6D337B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501650</xdr:colOff>
      <xdr:row>10</xdr:row>
      <xdr:rowOff>101600</xdr:rowOff>
    </xdr:from>
    <xdr:to>
      <xdr:col>7</xdr:col>
      <xdr:colOff>590550</xdr:colOff>
      <xdr:row>25</xdr:row>
      <xdr:rowOff>171450</xdr:rowOff>
    </xdr:to>
    <xdr:graphicFrame macro="">
      <xdr:nvGraphicFramePr>
        <xdr:cNvPr id="2" name="Chart 1">
          <a:extLst>
            <a:ext uri="{FF2B5EF4-FFF2-40B4-BE49-F238E27FC236}">
              <a16:creationId xmlns:a16="http://schemas.microsoft.com/office/drawing/2014/main" id="{87F79BD0-A96B-275A-EC27-4B52A405D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504288</xdr:colOff>
      <xdr:row>2</xdr:row>
      <xdr:rowOff>23114</xdr:rowOff>
    </xdr:from>
    <xdr:to>
      <xdr:col>16</xdr:col>
      <xdr:colOff>221066</xdr:colOff>
      <xdr:row>16</xdr:row>
      <xdr:rowOff>167003</xdr:rowOff>
    </xdr:to>
    <xdr:graphicFrame macro="">
      <xdr:nvGraphicFramePr>
        <xdr:cNvPr id="4" name="Chart 3">
          <a:extLst>
            <a:ext uri="{FF2B5EF4-FFF2-40B4-BE49-F238E27FC236}">
              <a16:creationId xmlns:a16="http://schemas.microsoft.com/office/drawing/2014/main" id="{9C09F71C-0AE4-B8BD-C071-E22324634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 refreshedDate="45776.67880115741" createdVersion="8" refreshedVersion="8" minRefreshableVersion="3" recordCount="56" xr:uid="{6D9D661D-6228-4682-89E8-F3FA9AA83BE3}">
  <cacheSource type="worksheet">
    <worksheetSource name="jobs_industry"/>
  </cacheSource>
  <cacheFields count="2">
    <cacheField name="Industry" numFmtId="0">
      <sharedItems count="56">
        <s v="Advertising"/>
        <s v="Aeronautics Aerospace and Defence"/>
        <s v="Agriculture"/>
        <s v="Artificial Intelligence (AI)"/>
        <s v="Airport Operations"/>
        <s v="Analytics"/>
        <s v="Animation"/>
        <s v="AR VR (Augmented + Virtual Reality)"/>
        <s v="Architecture Interior Design"/>
        <s v="Art and Photography"/>
        <s v="Automotive"/>
        <s v="Biotechnology"/>
        <s v="Chemicals"/>
        <s v="Computer Vision"/>
        <s v="Construction"/>
        <s v="Dating Matrimonial"/>
        <s v="Design"/>
        <s v="Education"/>
        <s v="Enterprise Software"/>
        <s v="Events"/>
        <s v="Fashion"/>
        <s v="Finance Technology"/>
        <s v="Food and Beverages"/>
        <s v="Green Technology"/>
        <s v="Healthcare and Lifesciences"/>
        <s v="House-Hold Services"/>
        <s v="Human Resources"/>
        <s v="Indic Language Startups"/>
        <s v="Internet of Things"/>
        <s v="IT Services"/>
        <s v="Logistics"/>
        <s v="Marketing"/>
        <s v="Media and Entertainment"/>
        <s v="Nanotechnology"/>
        <s v="Non- Renewable Energy"/>
        <s v="Other Specialty Retailers"/>
        <s v="Others"/>
        <s v="Passenger Experience"/>
        <s v="Pets and Animals"/>
        <s v="Professional and Commercial Services"/>
        <s v="Real Estate"/>
        <s v="Renewable Energy"/>
        <s v="Retail"/>
        <s v="Robotics"/>
        <s v="Safety"/>
        <s v="Security Solutions"/>
        <s v="Social Impact"/>
        <s v="Social Network"/>
        <s v="Sports"/>
        <s v="Technology Hardware"/>
        <s v="Telecommunication and Networking"/>
        <s v="Textiles and Apparel"/>
        <s v="Toys and Games"/>
        <s v="Transportation and Storage"/>
        <s v="Travel and Tourism"/>
        <s v="Waste Management"/>
      </sharedItems>
    </cacheField>
    <cacheField name="Number of Direct Jobs" numFmtId="0">
      <sharedItems containsSemiMixedTypes="0" containsString="0" containsNumber="1" containsInteger="1" minValue="252" maxValue="2041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 refreshedDate="45776.969859375" createdVersion="8" refreshedVersion="8" minRefreshableVersion="3" recordCount="36" xr:uid="{C0EB53D3-EF2C-41D4-AF1B-5344531506A1}">
  <cacheSource type="worksheet">
    <worksheetSource name="jobs_startups"/>
  </cacheSource>
  <cacheFields count="7">
    <cacheField name="States/Uts" numFmtId="0">
      <sharedItems count="36">
        <s v="Maharashtra"/>
        <s v="Karnataka"/>
        <s v="Delhi"/>
        <s v="Gujarat"/>
        <s v="Uttar Pradesh"/>
        <s v="Tamil Nadu"/>
        <s v="Haryana"/>
        <s v="Telangana"/>
        <s v="Kerala"/>
        <s v="Rajasthan"/>
        <s v="Madhya Pradesh"/>
        <s v="West Bengal"/>
        <s v="Bihar"/>
        <s v="Odisha"/>
        <s v="Andhra Pradesh"/>
        <s v="Punjab"/>
        <s v="Chhattisgarh"/>
        <s v="Assam"/>
        <s v="Jharkhand"/>
        <s v="Uttarakhand"/>
        <s v="Jammu and Kashmir"/>
        <s v="Chandigarh"/>
        <s v="Himachal Pradesh"/>
        <s v="Goa"/>
        <s v="Tripura"/>
        <s v="Puducherry"/>
        <s v="Manipur"/>
        <s v="Dadra and Nagar Haveli and Daman and Diu"/>
        <s v="Nagaland"/>
        <s v="Andaman and Nicobar Islands"/>
        <s v="Meghalaya"/>
        <s v="Arunachal Pradesh"/>
        <s v="Mizoram"/>
        <s v="Sikkim"/>
        <s v="Ladakh"/>
        <s v="Lakshadweep"/>
      </sharedItems>
    </cacheField>
    <cacheField name="2019" numFmtId="0">
      <sharedItems containsMixedTypes="1" containsNumber="1" containsInteger="1" minValue="6" maxValue="21979" count="34">
        <n v="21979"/>
        <n v="20256"/>
        <n v="13862"/>
        <n v="6077"/>
        <n v="8823"/>
        <n v="6860"/>
        <n v="9990"/>
        <n v="8622"/>
        <n v="4413"/>
        <n v="3819"/>
        <n v="3955"/>
        <n v="3396"/>
        <n v="1079"/>
        <n v="2248"/>
        <n v="1552"/>
        <n v="1230"/>
        <n v="1423"/>
        <n v="726"/>
        <n v="624"/>
        <n v="701"/>
        <n v="238"/>
        <n v="312"/>
        <n v="195"/>
        <n v="349"/>
        <n v="46"/>
        <n v="130"/>
        <n v="22"/>
        <n v="29"/>
        <n v="10"/>
        <n v="60"/>
        <n v="27"/>
        <n v="12"/>
        <s v="NA"/>
        <n v="6"/>
      </sharedItems>
    </cacheField>
    <cacheField name="2020" numFmtId="0">
      <sharedItems containsMixedTypes="1" containsNumber="1" containsInteger="1" minValue="2" maxValue="29133"/>
    </cacheField>
    <cacheField name="2021" numFmtId="0">
      <sharedItems containsMixedTypes="1" containsNumber="1" containsInteger="1" minValue="15" maxValue="38354"/>
    </cacheField>
    <cacheField name="2022" numFmtId="0">
      <sharedItems containsMixedTypes="1" containsNumber="1" containsInteger="1" minValue="22" maxValue="50913"/>
    </cacheField>
    <cacheField name="2023" numFmtId="0">
      <sharedItems containsSemiMixedTypes="0" containsString="0" containsNumber="1" containsInteger="1" minValue="8" maxValue="64974"/>
    </cacheField>
    <cacheField name="SUM of Jobs" numFmtId="0">
      <sharedItems containsSemiMixedTypes="0" containsString="0" containsNumber="1" containsInteger="1" minValue="38" maxValue="205353" count="36">
        <n v="205353"/>
        <n v="124445"/>
        <n v="121966"/>
        <n v="104449"/>
        <n v="97365"/>
        <n v="72044"/>
        <n v="70226"/>
        <n v="59406"/>
        <n v="39464"/>
        <n v="38151"/>
        <n v="37572"/>
        <n v="33453"/>
        <n v="19854"/>
        <n v="19268"/>
        <n v="15441"/>
        <n v="12585"/>
        <n v="9486"/>
        <n v="8906"/>
        <n v="8691"/>
        <n v="7191"/>
        <n v="5210"/>
        <n v="3871"/>
        <n v="2871"/>
        <n v="2837"/>
        <n v="1257"/>
        <n v="1197"/>
        <n v="1024"/>
        <n v="481"/>
        <n v="462"/>
        <n v="332"/>
        <n v="293"/>
        <n v="283"/>
        <n v="202"/>
        <n v="67"/>
        <n v="64"/>
        <n v="38"/>
      </sharedItems>
    </cacheField>
  </cacheFields>
  <extLst>
    <ext xmlns:x14="http://schemas.microsoft.com/office/spreadsheetml/2009/9/main" uri="{725AE2AE-9491-48be-B2B4-4EB974FC3084}">
      <x14:pivotCacheDefinition pivotCacheId="4531692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 refreshedDate="45777.585302314816" createdVersion="8" refreshedVersion="8" minRefreshableVersion="3" recordCount="36" xr:uid="{44F51A55-FC53-4740-BD8C-C9D3C10C4C73}">
  <cacheSource type="worksheet">
    <worksheetSource name="total_startups"/>
  </cacheSource>
  <cacheFields count="8">
    <cacheField name="States/Uts" numFmtId="0">
      <sharedItems count="36">
        <s v="Maharashtra"/>
        <s v="Karnataka"/>
        <s v="Delhi"/>
        <s v="Uttar Pradesh"/>
        <s v="Gujarat"/>
        <s v="Tamil Nadu"/>
        <s v="Haryana"/>
        <s v="Telangana"/>
        <s v="Kerala"/>
        <s v="Rajasthan"/>
        <s v="West Bengal"/>
        <s v="Madhya Pradesh"/>
        <s v="Bihar"/>
        <s v="Odisha"/>
        <s v="Andhra Pradesh"/>
        <s v="Punjab"/>
        <s v="Chhattisgarh"/>
        <s v="Assam"/>
        <s v="Jharkhand"/>
        <s v="Uttarakhand"/>
        <s v="Jammu and Kashmir"/>
        <s v="Himachal Pradesh"/>
        <s v="Goa"/>
        <s v="Chandigarh"/>
        <s v="Puducherry"/>
        <s v="Manipur"/>
        <s v="Tripura"/>
        <s v="Andaman and Nicobar Islands"/>
        <s v="Dadra and Nagar Haveli and Daman and Diu"/>
        <s v="Nagaland"/>
        <s v="Meghalaya"/>
        <s v="Arunachal Pradesh"/>
        <s v="Mizoram"/>
        <s v="Sikkim"/>
        <s v="Ladakh"/>
        <s v="Lakshadweep"/>
      </sharedItems>
    </cacheField>
    <cacheField name="2019" numFmtId="0">
      <sharedItems containsMixedTypes="1" containsNumber="1" containsInteger="1" minValue="2" maxValue="1987"/>
    </cacheField>
    <cacheField name="2020" numFmtId="0">
      <sharedItems containsMixedTypes="1" containsNumber="1" containsInteger="1" minValue="1" maxValue="2531"/>
    </cacheField>
    <cacheField name="2021" numFmtId="0">
      <sharedItems containsMixedTypes="1" containsNumber="1" containsInteger="1" minValue="2" maxValue="3552"/>
    </cacheField>
    <cacheField name="2022" numFmtId="0">
      <sharedItems containsMixedTypes="1" containsNumber="1" containsInteger="1" minValue="2" maxValue="4763"/>
    </cacheField>
    <cacheField name="2023" numFmtId="0">
      <sharedItems containsSemiMixedTypes="0" containsString="0" containsNumber="1" containsInteger="1" minValue="2" maxValue="5801"/>
    </cacheField>
    <cacheField name="Total Startups" numFmtId="0">
      <sharedItems containsSemiMixedTypes="0" containsString="0" containsNumber="1" containsInteger="1" minValue="3" maxValue="18634"/>
    </cacheField>
    <cacheField name="Average startups" numFmtId="0">
      <sharedItems containsSemiMixedTypes="0" containsString="0" containsNumber="1" minValue="1.5" maxValue="372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n v="11839"/>
  </r>
  <r>
    <x v="1"/>
    <n v="12801"/>
  </r>
  <r>
    <x v="2"/>
    <n v="83307"/>
  </r>
  <r>
    <x v="3"/>
    <n v="23918"/>
  </r>
  <r>
    <x v="4"/>
    <n v="1205"/>
  </r>
  <r>
    <x v="5"/>
    <n v="9450"/>
  </r>
  <r>
    <x v="6"/>
    <n v="2104"/>
  </r>
  <r>
    <x v="7"/>
    <n v="5848"/>
  </r>
  <r>
    <x v="8"/>
    <n v="10326"/>
  </r>
  <r>
    <x v="9"/>
    <n v="4441"/>
  </r>
  <r>
    <x v="10"/>
    <n v="39535"/>
  </r>
  <r>
    <x v="11"/>
    <n v="3557"/>
  </r>
  <r>
    <x v="12"/>
    <n v="16675"/>
  </r>
  <r>
    <x v="13"/>
    <n v="2484"/>
  </r>
  <r>
    <x v="14"/>
    <n v="88702"/>
  </r>
  <r>
    <x v="15"/>
    <n v="717"/>
  </r>
  <r>
    <x v="16"/>
    <n v="9039"/>
  </r>
  <r>
    <x v="17"/>
    <n v="90414"/>
  </r>
  <r>
    <x v="18"/>
    <n v="24899"/>
  </r>
  <r>
    <x v="19"/>
    <n v="5503"/>
  </r>
  <r>
    <x v="20"/>
    <n v="24253"/>
  </r>
  <r>
    <x v="21"/>
    <n v="56819"/>
  </r>
  <r>
    <x v="22"/>
    <n v="88468"/>
  </r>
  <r>
    <x v="23"/>
    <n v="27808"/>
  </r>
  <r>
    <x v="24"/>
    <n v="147639"/>
  </r>
  <r>
    <x v="25"/>
    <n v="17530"/>
  </r>
  <r>
    <x v="26"/>
    <n v="87983"/>
  </r>
  <r>
    <x v="27"/>
    <n v="3453"/>
  </r>
  <r>
    <x v="28"/>
    <n v="14885"/>
  </r>
  <r>
    <x v="29"/>
    <n v="204119"/>
  </r>
  <r>
    <x v="30"/>
    <n v="11608"/>
  </r>
  <r>
    <x v="31"/>
    <n v="29685"/>
  </r>
  <r>
    <x v="32"/>
    <n v="20515"/>
  </r>
  <r>
    <x v="33"/>
    <n v="1850"/>
  </r>
  <r>
    <x v="34"/>
    <n v="12856"/>
  </r>
  <r>
    <x v="35"/>
    <n v="14179"/>
  </r>
  <r>
    <x v="36"/>
    <n v="28278"/>
  </r>
  <r>
    <x v="37"/>
    <n v="252"/>
  </r>
  <r>
    <x v="38"/>
    <n v="3054"/>
  </r>
  <r>
    <x v="39"/>
    <n v="94060"/>
  </r>
  <r>
    <x v="40"/>
    <n v="15873"/>
  </r>
  <r>
    <x v="41"/>
    <n v="41523"/>
  </r>
  <r>
    <x v="42"/>
    <n v="33114"/>
  </r>
  <r>
    <x v="43"/>
    <n v="5956"/>
  </r>
  <r>
    <x v="44"/>
    <n v="9245"/>
  </r>
  <r>
    <x v="45"/>
    <n v="27907"/>
  </r>
  <r>
    <x v="46"/>
    <n v="7973"/>
  </r>
  <r>
    <x v="47"/>
    <n v="5136"/>
  </r>
  <r>
    <x v="48"/>
    <n v="6500"/>
  </r>
  <r>
    <x v="49"/>
    <n v="50894"/>
  </r>
  <r>
    <x v="50"/>
    <n v="16524"/>
  </r>
  <r>
    <x v="51"/>
    <n v="38867"/>
  </r>
  <r>
    <x v="52"/>
    <n v="4802"/>
  </r>
  <r>
    <x v="53"/>
    <n v="30509"/>
  </r>
  <r>
    <x v="54"/>
    <n v="23828"/>
  </r>
  <r>
    <x v="55"/>
    <n v="128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9133"/>
    <n v="38354"/>
    <n v="50913"/>
    <n v="64974"/>
    <x v="0"/>
  </r>
  <r>
    <x v="1"/>
    <x v="1"/>
    <n v="23767"/>
    <n v="20812"/>
    <n v="24544"/>
    <n v="35066"/>
    <x v="1"/>
  </r>
  <r>
    <x v="2"/>
    <x v="2"/>
    <n v="17638"/>
    <n v="22231"/>
    <n v="29955"/>
    <n v="38280"/>
    <x v="2"/>
  </r>
  <r>
    <x v="3"/>
    <x v="3"/>
    <n v="9295"/>
    <n v="17329"/>
    <n v="23610"/>
    <n v="48138"/>
    <x v="3"/>
  </r>
  <r>
    <x v="4"/>
    <x v="4"/>
    <n v="13226"/>
    <n v="18812"/>
    <n v="22673"/>
    <n v="33831"/>
    <x v="4"/>
  </r>
  <r>
    <x v="5"/>
    <x v="5"/>
    <n v="7772"/>
    <n v="9684"/>
    <n v="17192"/>
    <n v="30536"/>
    <x v="5"/>
  </r>
  <r>
    <x v="6"/>
    <x v="6"/>
    <n v="10515"/>
    <n v="10006"/>
    <n v="13694"/>
    <n v="26021"/>
    <x v="6"/>
  </r>
  <r>
    <x v="7"/>
    <x v="7"/>
    <n v="8576"/>
    <n v="9581"/>
    <n v="14249"/>
    <n v="18378"/>
    <x v="7"/>
  </r>
  <r>
    <x v="8"/>
    <x v="8"/>
    <n v="5446"/>
    <n v="7582"/>
    <n v="10286"/>
    <n v="11737"/>
    <x v="8"/>
  </r>
  <r>
    <x v="9"/>
    <x v="9"/>
    <n v="4439"/>
    <n v="5579"/>
    <n v="10590"/>
    <n v="13724"/>
    <x v="9"/>
  </r>
  <r>
    <x v="10"/>
    <x v="10"/>
    <n v="3468"/>
    <n v="6568"/>
    <n v="11511"/>
    <n v="12070"/>
    <x v="10"/>
  </r>
  <r>
    <x v="11"/>
    <x v="11"/>
    <n v="2604"/>
    <n v="6632"/>
    <n v="9353"/>
    <n v="11468"/>
    <x v="11"/>
  </r>
  <r>
    <x v="12"/>
    <x v="12"/>
    <n v="2134"/>
    <n v="3086"/>
    <n v="4498"/>
    <n v="9057"/>
    <x v="12"/>
  </r>
  <r>
    <x v="13"/>
    <x v="13"/>
    <n v="2220"/>
    <n v="3742"/>
    <n v="4526"/>
    <n v="6532"/>
    <x v="13"/>
  </r>
  <r>
    <x v="14"/>
    <x v="14"/>
    <n v="2849"/>
    <n v="2304"/>
    <n v="3067"/>
    <n v="5669"/>
    <x v="14"/>
  </r>
  <r>
    <x v="15"/>
    <x v="15"/>
    <n v="1673"/>
    <n v="2429"/>
    <n v="2318"/>
    <n v="4935"/>
    <x v="15"/>
  </r>
  <r>
    <x v="16"/>
    <x v="16"/>
    <n v="1054"/>
    <n v="1694"/>
    <n v="2126"/>
    <n v="3189"/>
    <x v="16"/>
  </r>
  <r>
    <x v="17"/>
    <x v="17"/>
    <n v="874"/>
    <n v="1403"/>
    <n v="2553"/>
    <n v="3350"/>
    <x v="17"/>
  </r>
  <r>
    <x v="18"/>
    <x v="18"/>
    <n v="1353"/>
    <n v="1362"/>
    <n v="1827"/>
    <n v="3525"/>
    <x v="18"/>
  </r>
  <r>
    <x v="19"/>
    <x v="19"/>
    <n v="709"/>
    <n v="1696"/>
    <n v="1684"/>
    <n v="2401"/>
    <x v="19"/>
  </r>
  <r>
    <x v="20"/>
    <x v="20"/>
    <n v="447"/>
    <n v="776"/>
    <n v="1297"/>
    <n v="2452"/>
    <x v="20"/>
  </r>
  <r>
    <x v="21"/>
    <x v="21"/>
    <n v="355"/>
    <n v="978"/>
    <n v="898"/>
    <n v="1328"/>
    <x v="21"/>
  </r>
  <r>
    <x v="22"/>
    <x v="22"/>
    <n v="281"/>
    <n v="344"/>
    <n v="972"/>
    <n v="1079"/>
    <x v="22"/>
  </r>
  <r>
    <x v="23"/>
    <x v="23"/>
    <n v="340"/>
    <n v="494"/>
    <n v="830"/>
    <n v="824"/>
    <x v="23"/>
  </r>
  <r>
    <x v="24"/>
    <x v="24"/>
    <n v="735"/>
    <n v="95"/>
    <n v="188"/>
    <n v="193"/>
    <x v="24"/>
  </r>
  <r>
    <x v="25"/>
    <x v="25"/>
    <n v="68"/>
    <n v="198"/>
    <n v="233"/>
    <n v="568"/>
    <x v="25"/>
  </r>
  <r>
    <x v="26"/>
    <x v="26"/>
    <n v="116"/>
    <n v="382"/>
    <n v="309"/>
    <n v="195"/>
    <x v="26"/>
  </r>
  <r>
    <x v="27"/>
    <x v="27"/>
    <n v="31"/>
    <n v="136"/>
    <n v="147"/>
    <n v="138"/>
    <x v="27"/>
  </r>
  <r>
    <x v="28"/>
    <x v="28"/>
    <n v="32"/>
    <n v="81"/>
    <n v="71"/>
    <n v="268"/>
    <x v="28"/>
  </r>
  <r>
    <x v="29"/>
    <x v="29"/>
    <n v="32"/>
    <n v="72"/>
    <n v="71"/>
    <n v="97"/>
    <x v="29"/>
  </r>
  <r>
    <x v="30"/>
    <x v="30"/>
    <s v="NA"/>
    <n v="48"/>
    <n v="61"/>
    <n v="157"/>
    <x v="30"/>
  </r>
  <r>
    <x v="31"/>
    <x v="31"/>
    <s v="NA"/>
    <n v="31"/>
    <n v="55"/>
    <n v="185"/>
    <x v="31"/>
  </r>
  <r>
    <x v="32"/>
    <x v="32"/>
    <n v="2"/>
    <n v="15"/>
    <n v="106"/>
    <n v="79"/>
    <x v="32"/>
  </r>
  <r>
    <x v="33"/>
    <x v="33"/>
    <n v="2"/>
    <n v="29"/>
    <n v="22"/>
    <n v="8"/>
    <x v="33"/>
  </r>
  <r>
    <x v="34"/>
    <x v="32"/>
    <n v="3"/>
    <s v="NA"/>
    <n v="32"/>
    <n v="29"/>
    <x v="34"/>
  </r>
  <r>
    <x v="35"/>
    <x v="32"/>
    <n v="7"/>
    <s v="NA"/>
    <s v="NA"/>
    <n v="31"/>
    <x v="3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1987"/>
    <n v="2531"/>
    <n v="3552"/>
    <n v="4763"/>
    <n v="5801"/>
    <n v="18634"/>
    <n v="3726.8"/>
  </r>
  <r>
    <x v="1"/>
    <n v="1566"/>
    <n v="1648"/>
    <n v="2082"/>
    <n v="2546"/>
    <n v="3032"/>
    <n v="10874"/>
    <n v="2174.8000000000002"/>
  </r>
  <r>
    <x v="2"/>
    <n v="1302"/>
    <n v="1711"/>
    <n v="2129"/>
    <n v="2548"/>
    <n v="3150"/>
    <n v="10840"/>
    <n v="2168"/>
  </r>
  <r>
    <x v="3"/>
    <n v="807"/>
    <n v="1290"/>
    <n v="1876"/>
    <n v="2554"/>
    <n v="3426"/>
    <n v="9953"/>
    <n v="1990.6"/>
  </r>
  <r>
    <x v="4"/>
    <n v="565"/>
    <n v="846"/>
    <n v="1655"/>
    <n v="2262"/>
    <n v="3291"/>
    <n v="8619"/>
    <n v="1723.8"/>
  </r>
  <r>
    <x v="5"/>
    <n v="556"/>
    <n v="715"/>
    <n v="1067"/>
    <n v="1791"/>
    <n v="2810"/>
    <n v="6939"/>
    <n v="1387.8"/>
  </r>
  <r>
    <x v="6"/>
    <n v="658"/>
    <n v="787"/>
    <n v="1036"/>
    <n v="1327"/>
    <n v="1740"/>
    <n v="5548"/>
    <n v="1109.5999999999999"/>
  </r>
  <r>
    <x v="7"/>
    <n v="559"/>
    <n v="754"/>
    <n v="928"/>
    <n v="1370"/>
    <n v="1757"/>
    <n v="5368"/>
    <n v="1073.5999999999999"/>
  </r>
  <r>
    <x v="8"/>
    <n v="597"/>
    <n v="671"/>
    <n v="901"/>
    <n v="1070"/>
    <n v="1294"/>
    <n v="4533"/>
    <n v="906.6"/>
  </r>
  <r>
    <x v="9"/>
    <n v="321"/>
    <n v="459"/>
    <n v="591"/>
    <n v="986"/>
    <n v="1443"/>
    <n v="3800"/>
    <n v="760"/>
  </r>
  <r>
    <x v="10"/>
    <n v="276"/>
    <n v="362"/>
    <n v="648"/>
    <n v="991"/>
    <n v="1170"/>
    <n v="3447"/>
    <n v="689.4"/>
  </r>
  <r>
    <x v="11"/>
    <n v="302"/>
    <n v="401"/>
    <n v="540"/>
    <n v="891"/>
    <n v="1264"/>
    <n v="3398"/>
    <n v="679.6"/>
  </r>
  <r>
    <x v="12"/>
    <n v="137"/>
    <n v="236"/>
    <n v="374"/>
    <n v="517"/>
    <n v="811"/>
    <n v="2075"/>
    <n v="415"/>
  </r>
  <r>
    <x v="13"/>
    <n v="170"/>
    <n v="257"/>
    <n v="367"/>
    <n v="442"/>
    <n v="620"/>
    <n v="1856"/>
    <n v="371.2"/>
  </r>
  <r>
    <x v="14"/>
    <n v="161"/>
    <n v="215"/>
    <n v="286"/>
    <n v="382"/>
    <n v="586"/>
    <n v="1630"/>
    <n v="326"/>
  </r>
  <r>
    <x v="15"/>
    <n v="86"/>
    <n v="134"/>
    <n v="239"/>
    <n v="294"/>
    <n v="443"/>
    <n v="1196"/>
    <n v="239.2"/>
  </r>
  <r>
    <x v="16"/>
    <n v="152"/>
    <n v="143"/>
    <n v="159"/>
    <n v="233"/>
    <n v="360"/>
    <n v="1047"/>
    <n v="209.4"/>
  </r>
  <r>
    <x v="17"/>
    <n v="62"/>
    <n v="108"/>
    <n v="181"/>
    <n v="282"/>
    <n v="362"/>
    <n v="995"/>
    <n v="199"/>
  </r>
  <r>
    <x v="18"/>
    <n v="79"/>
    <n v="153"/>
    <n v="180"/>
    <n v="232"/>
    <n v="337"/>
    <n v="981"/>
    <n v="196.2"/>
  </r>
  <r>
    <x v="19"/>
    <n v="87"/>
    <n v="109"/>
    <n v="155"/>
    <n v="236"/>
    <n v="271"/>
    <n v="858"/>
    <n v="171.6"/>
  </r>
  <r>
    <x v="20"/>
    <n v="30"/>
    <n v="57"/>
    <n v="123"/>
    <n v="167"/>
    <n v="247"/>
    <n v="624"/>
    <n v="124.8"/>
  </r>
  <r>
    <x v="21"/>
    <n v="27"/>
    <n v="40"/>
    <n v="55"/>
    <n v="117"/>
    <n v="144"/>
    <n v="383"/>
    <n v="76.599999999999994"/>
  </r>
  <r>
    <x v="22"/>
    <n v="39"/>
    <n v="60"/>
    <n v="78"/>
    <n v="104"/>
    <n v="98"/>
    <n v="379"/>
    <n v="75.8"/>
  </r>
  <r>
    <x v="23"/>
    <n v="37"/>
    <n v="52"/>
    <n v="63"/>
    <n v="81"/>
    <n v="126"/>
    <n v="359"/>
    <n v="71.8"/>
  </r>
  <r>
    <x v="24"/>
    <n v="10"/>
    <n v="13"/>
    <n v="16"/>
    <n v="29"/>
    <n v="43"/>
    <n v="111"/>
    <n v="22.2"/>
  </r>
  <r>
    <x v="25"/>
    <n v="3"/>
    <n v="10"/>
    <n v="33"/>
    <n v="31"/>
    <n v="26"/>
    <n v="103"/>
    <n v="20.6"/>
  </r>
  <r>
    <x v="26"/>
    <n v="7"/>
    <n v="17"/>
    <n v="11"/>
    <n v="25"/>
    <n v="23"/>
    <n v="83"/>
    <n v="16.600000000000001"/>
  </r>
  <r>
    <x v="27"/>
    <n v="7"/>
    <n v="5"/>
    <n v="13"/>
    <n v="9"/>
    <n v="15"/>
    <n v="49"/>
    <n v="9.8000000000000007"/>
  </r>
  <r>
    <x v="28"/>
    <n v="3"/>
    <n v="5"/>
    <n v="12"/>
    <n v="12"/>
    <n v="11"/>
    <n v="43"/>
    <n v="8.6"/>
  </r>
  <r>
    <x v="29"/>
    <n v="2"/>
    <n v="5"/>
    <n v="6"/>
    <n v="7"/>
    <n v="22"/>
    <n v="42"/>
    <n v="8.4"/>
  </r>
  <r>
    <x v="30"/>
    <n v="5"/>
    <s v="NA"/>
    <n v="6"/>
    <n v="10"/>
    <n v="18"/>
    <n v="39"/>
    <n v="9.75"/>
  </r>
  <r>
    <x v="31"/>
    <n v="2"/>
    <s v="NA"/>
    <n v="4"/>
    <n v="9"/>
    <n v="17"/>
    <n v="32"/>
    <n v="8"/>
  </r>
  <r>
    <x v="32"/>
    <s v="NA"/>
    <n v="1"/>
    <n v="2"/>
    <n v="6"/>
    <n v="13"/>
    <n v="22"/>
    <n v="5.5"/>
  </r>
  <r>
    <x v="33"/>
    <n v="2"/>
    <n v="1"/>
    <n v="3"/>
    <n v="2"/>
    <n v="2"/>
    <n v="10"/>
    <n v="2"/>
  </r>
  <r>
    <x v="34"/>
    <s v="NA"/>
    <n v="1"/>
    <s v="NA"/>
    <n v="4"/>
    <n v="4"/>
    <n v="9"/>
    <n v="3"/>
  </r>
  <r>
    <x v="35"/>
    <s v="NA"/>
    <n v="1"/>
    <s v="NA"/>
    <s v="NA"/>
    <n v="2"/>
    <n v="3"/>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A2E75B-8982-442C-99E4-D00BD6D39FAC}"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39" firstHeaderRow="0" firstDataRow="1" firstDataCol="1"/>
  <pivotFields count="7">
    <pivotField axis="axisRow" showAll="0">
      <items count="37">
        <item x="29"/>
        <item x="14"/>
        <item x="31"/>
        <item x="17"/>
        <item x="12"/>
        <item x="21"/>
        <item x="16"/>
        <item x="27"/>
        <item x="2"/>
        <item x="23"/>
        <item x="3"/>
        <item x="6"/>
        <item x="22"/>
        <item x="20"/>
        <item x="18"/>
        <item x="1"/>
        <item x="8"/>
        <item x="34"/>
        <item x="35"/>
        <item x="10"/>
        <item x="0"/>
        <item x="26"/>
        <item x="30"/>
        <item x="32"/>
        <item x="28"/>
        <item x="13"/>
        <item x="25"/>
        <item x="15"/>
        <item x="9"/>
        <item x="33"/>
        <item x="5"/>
        <item x="7"/>
        <item x="24"/>
        <item x="4"/>
        <item x="19"/>
        <item x="11"/>
        <item t="default"/>
      </items>
    </pivotField>
    <pivotField dataField="1" showAll="0">
      <items count="35">
        <item x="33"/>
        <item x="28"/>
        <item x="31"/>
        <item x="26"/>
        <item x="30"/>
        <item x="27"/>
        <item x="24"/>
        <item x="29"/>
        <item x="25"/>
        <item x="22"/>
        <item x="20"/>
        <item x="21"/>
        <item x="23"/>
        <item x="18"/>
        <item x="19"/>
        <item x="17"/>
        <item x="12"/>
        <item x="15"/>
        <item x="16"/>
        <item x="14"/>
        <item x="13"/>
        <item x="11"/>
        <item x="9"/>
        <item x="10"/>
        <item x="8"/>
        <item x="3"/>
        <item x="5"/>
        <item x="7"/>
        <item x="4"/>
        <item x="6"/>
        <item x="2"/>
        <item x="1"/>
        <item x="0"/>
        <item x="32"/>
        <item t="default"/>
      </items>
    </pivotField>
    <pivotField dataField="1" showAll="0"/>
    <pivotField dataField="1" showAll="0"/>
    <pivotField dataField="1" showAll="0"/>
    <pivotField dataField="1" showAll="0"/>
    <pivotField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2"/>
  </colFields>
  <colItems count="5">
    <i>
      <x/>
    </i>
    <i i="1">
      <x v="1"/>
    </i>
    <i i="2">
      <x v="2"/>
    </i>
    <i i="3">
      <x v="3"/>
    </i>
    <i i="4">
      <x v="4"/>
    </i>
  </colItems>
  <dataFields count="5">
    <dataField name="Sum of 2019" fld="1" baseField="0" baseItem="0"/>
    <dataField name="Sum of 2020" fld="2" baseField="0" baseItem="0"/>
    <dataField name="Sum of 2021" fld="3" baseField="0" baseItem="0"/>
    <dataField name="Sum of 2022" fld="4" baseField="0" baseItem="0"/>
    <dataField name="Sum of 2023"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8894B-7A28-4088-9B75-31C8F44C6F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
    <pivotField axis="axisRow" showAll="0" measureFilter="1" sortType="ascending">
      <items count="57">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
        <item x="9"/>
        <item x="8"/>
        <item x="7"/>
        <item x="6"/>
        <item x="5"/>
        <item x="4"/>
        <item x="2"/>
        <item x="1"/>
        <item x="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6"/>
    </i>
    <i>
      <x v="34"/>
    </i>
    <i>
      <x v="53"/>
    </i>
    <i>
      <x v="29"/>
    </i>
    <i>
      <x v="33"/>
    </i>
    <i>
      <x v="41"/>
    </i>
    <i>
      <x v="38"/>
    </i>
    <i>
      <x v="16"/>
    </i>
    <i>
      <x v="31"/>
    </i>
    <i>
      <x v="26"/>
    </i>
    <i t="grand">
      <x/>
    </i>
  </rowItems>
  <colItems count="1">
    <i/>
  </colItems>
  <dataFields count="1">
    <dataField name="Sum of Number of Direct Jobs" fld="1"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26"/>
          </reference>
        </references>
      </pivotArea>
    </chartFormat>
    <chartFormat chart="0" format="3">
      <pivotArea type="data" outline="0" fieldPosition="0">
        <references count="2">
          <reference field="4294967294" count="1" selected="0">
            <x v="0"/>
          </reference>
          <reference field="0" count="1" selected="0">
            <x v="33"/>
          </reference>
        </references>
      </pivotArea>
    </chartFormat>
    <chartFormat chart="0" format="4">
      <pivotArea type="data" outline="0" fieldPosition="0">
        <references count="2">
          <reference field="4294967294" count="1" selected="0">
            <x v="0"/>
          </reference>
          <reference field="0" count="1" selected="0">
            <x v="16"/>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29"/>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0" count="1" selected="0">
            <x v="6"/>
          </reference>
        </references>
      </pivotArea>
    </chartFormat>
    <chartFormat chart="11" format="20">
      <pivotArea type="data" outline="0" fieldPosition="0">
        <references count="2">
          <reference field="4294967294" count="1" selected="0">
            <x v="0"/>
          </reference>
          <reference field="0" count="1" selected="0">
            <x v="34"/>
          </reference>
        </references>
      </pivotArea>
    </chartFormat>
    <chartFormat chart="11" format="21">
      <pivotArea type="data" outline="0" fieldPosition="0">
        <references count="2">
          <reference field="4294967294" count="1" selected="0">
            <x v="0"/>
          </reference>
          <reference field="0" count="1" selected="0">
            <x v="53"/>
          </reference>
        </references>
      </pivotArea>
    </chartFormat>
    <chartFormat chart="11" format="22">
      <pivotArea type="data" outline="0" fieldPosition="0">
        <references count="2">
          <reference field="4294967294" count="1" selected="0">
            <x v="0"/>
          </reference>
          <reference field="0" count="1" selected="0">
            <x v="29"/>
          </reference>
        </references>
      </pivotArea>
    </chartFormat>
    <chartFormat chart="11" format="23">
      <pivotArea type="data" outline="0" fieldPosition="0">
        <references count="2">
          <reference field="4294967294" count="1" selected="0">
            <x v="0"/>
          </reference>
          <reference field="0" count="1" selected="0">
            <x v="33"/>
          </reference>
        </references>
      </pivotArea>
    </chartFormat>
    <chartFormat chart="11" format="24">
      <pivotArea type="data" outline="0" fieldPosition="0">
        <references count="2">
          <reference field="4294967294" count="1" selected="0">
            <x v="0"/>
          </reference>
          <reference field="0" count="1" selected="0">
            <x v="41"/>
          </reference>
        </references>
      </pivotArea>
    </chartFormat>
    <chartFormat chart="11" format="25">
      <pivotArea type="data" outline="0" fieldPosition="0">
        <references count="2">
          <reference field="4294967294" count="1" selected="0">
            <x v="0"/>
          </reference>
          <reference field="0" count="1" selected="0">
            <x v="38"/>
          </reference>
        </references>
      </pivotArea>
    </chartFormat>
    <chartFormat chart="11" format="26">
      <pivotArea type="data" outline="0" fieldPosition="0">
        <references count="2">
          <reference field="4294967294" count="1" selected="0">
            <x v="0"/>
          </reference>
          <reference field="0" count="1" selected="0">
            <x v="16"/>
          </reference>
        </references>
      </pivotArea>
    </chartFormat>
    <chartFormat chart="11" format="27">
      <pivotArea type="data" outline="0" fieldPosition="0">
        <references count="2">
          <reference field="4294967294" count="1" selected="0">
            <x v="0"/>
          </reference>
          <reference field="0" count="1" selected="0">
            <x v="31"/>
          </reference>
        </references>
      </pivotArea>
    </chartFormat>
    <chartFormat chart="11" format="28">
      <pivotArea type="data" outline="0" fieldPosition="0">
        <references count="2">
          <reference field="4294967294" count="1" selected="0">
            <x v="0"/>
          </reference>
          <reference field="0" count="1" selected="0">
            <x v="26"/>
          </reference>
        </references>
      </pivotArea>
    </chartFormat>
    <chartFormat chart="0" format="7">
      <pivotArea type="data" outline="0" fieldPosition="0">
        <references count="2">
          <reference field="4294967294" count="1" selected="0">
            <x v="0"/>
          </reference>
          <reference field="0" count="1" selected="0">
            <x v="34"/>
          </reference>
        </references>
      </pivotArea>
    </chartFormat>
    <chartFormat chart="0" format="8">
      <pivotArea type="data" outline="0" fieldPosition="0">
        <references count="2">
          <reference field="4294967294" count="1" selected="0">
            <x v="0"/>
          </reference>
          <reference field="0" count="1" selected="0">
            <x v="53"/>
          </reference>
        </references>
      </pivotArea>
    </chartFormat>
    <chartFormat chart="0" format="9">
      <pivotArea type="data" outline="0" fieldPosition="0">
        <references count="2">
          <reference field="4294967294" count="1" selected="0">
            <x v="0"/>
          </reference>
          <reference field="0" count="1" selected="0">
            <x v="41"/>
          </reference>
        </references>
      </pivotArea>
    </chartFormat>
    <chartFormat chart="0" format="10">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7BF52-DDA5-4802-BE02-167C4D34CC0A}"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F8" firstHeaderRow="0" firstDataRow="1" firstDataCol="1"/>
  <pivotFields count="7">
    <pivotField axis="axisRow" showAll="0" measureFilter="1" sortType="descending">
      <items count="37">
        <item x="29"/>
        <item x="14"/>
        <item x="31"/>
        <item x="17"/>
        <item x="12"/>
        <item x="21"/>
        <item x="16"/>
        <item x="27"/>
        <item x="2"/>
        <item x="23"/>
        <item x="3"/>
        <item x="6"/>
        <item x="22"/>
        <item x="20"/>
        <item x="18"/>
        <item x="1"/>
        <item x="8"/>
        <item x="34"/>
        <item x="35"/>
        <item x="10"/>
        <item x="0"/>
        <item x="26"/>
        <item x="30"/>
        <item x="32"/>
        <item x="28"/>
        <item x="13"/>
        <item x="25"/>
        <item x="15"/>
        <item x="9"/>
        <item x="33"/>
        <item x="5"/>
        <item x="7"/>
        <item x="24"/>
        <item x="4"/>
        <item x="19"/>
        <item x="11"/>
        <item t="default"/>
      </items>
      <autoSortScope>
        <pivotArea dataOnly="0" outline="0" fieldPosition="0">
          <references count="1">
            <reference field="4294967294" count="1" selected="0">
              <x v="4"/>
            </reference>
          </references>
        </pivotArea>
      </autoSortScope>
    </pivotField>
    <pivotField dataField="1" showAll="0"/>
    <pivotField dataField="1" showAll="0"/>
    <pivotField dataField="1" showAll="0"/>
    <pivotField dataField="1" showAll="0"/>
    <pivotField dataField="1" showAll="0"/>
    <pivotField showAll="0"/>
  </pivotFields>
  <rowFields count="1">
    <field x="0"/>
  </rowFields>
  <rowItems count="5">
    <i>
      <x v="20"/>
    </i>
    <i>
      <x v="8"/>
    </i>
    <i>
      <x v="15"/>
    </i>
    <i>
      <x v="33"/>
    </i>
    <i>
      <x v="11"/>
    </i>
  </rowItems>
  <colFields count="1">
    <field x="-2"/>
  </colFields>
  <colItems count="5">
    <i>
      <x/>
    </i>
    <i i="1">
      <x v="1"/>
    </i>
    <i i="2">
      <x v="2"/>
    </i>
    <i i="3">
      <x v="3"/>
    </i>
    <i i="4">
      <x v="4"/>
    </i>
  </colItems>
  <dataFields count="5">
    <dataField name="Sum of 2019" fld="1" baseField="0" baseItem="0"/>
    <dataField name="Sum of 2020" fld="2" baseField="0" baseItem="0"/>
    <dataField name="Sum of 2021" fld="3" baseField="0" baseItem="0"/>
    <dataField name="Sum of 2022" fld="4" baseField="0" baseItem="0"/>
    <dataField name="Sum of 2023"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7" format="13" series="1">
      <pivotArea type="data" outline="0" fieldPosition="0">
        <references count="1">
          <reference field="4294967294" count="1" selected="0">
            <x v="2"/>
          </reference>
        </references>
      </pivotArea>
    </chartFormat>
    <chartFormat chart="7" format="14" series="1">
      <pivotArea type="data" outline="0" fieldPosition="0">
        <references count="1">
          <reference field="4294967294" count="1" selected="0">
            <x v="3"/>
          </reference>
        </references>
      </pivotArea>
    </chartFormat>
    <chartFormat chart="7" format="1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61032-70F3-482F-8CF8-F5EB689A6FBF}"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F8" firstHeaderRow="0" firstDataRow="1" firstDataCol="1"/>
  <pivotFields count="8">
    <pivotField axis="axisRow" showAll="0" measureFilter="1" sortType="descending">
      <items count="37">
        <item x="27"/>
        <item x="14"/>
        <item x="31"/>
        <item x="17"/>
        <item x="12"/>
        <item x="23"/>
        <item x="16"/>
        <item x="28"/>
        <item x="2"/>
        <item x="22"/>
        <item x="4"/>
        <item x="6"/>
        <item x="21"/>
        <item x="20"/>
        <item x="18"/>
        <item x="1"/>
        <item x="8"/>
        <item x="34"/>
        <item x="35"/>
        <item x="11"/>
        <item x="0"/>
        <item x="25"/>
        <item x="30"/>
        <item x="32"/>
        <item x="29"/>
        <item x="13"/>
        <item x="24"/>
        <item x="15"/>
        <item x="9"/>
        <item x="33"/>
        <item x="5"/>
        <item x="7"/>
        <item x="26"/>
        <item x="3"/>
        <item x="19"/>
        <item x="10"/>
        <item t="default"/>
      </items>
      <autoSortScope>
        <pivotArea dataOnly="0" outline="0" fieldPosition="0">
          <references count="1">
            <reference field="4294967294" count="1" selected="0">
              <x v="4"/>
            </reference>
          </references>
        </pivotArea>
      </autoSortScope>
    </pivotField>
    <pivotField dataField="1" showAll="0"/>
    <pivotField dataField="1" showAll="0"/>
    <pivotField dataField="1" showAll="0"/>
    <pivotField dataField="1" showAll="0"/>
    <pivotField dataField="1" showAll="0"/>
    <pivotField showAll="0"/>
    <pivotField showAll="0"/>
  </pivotFields>
  <rowFields count="1">
    <field x="0"/>
  </rowFields>
  <rowItems count="5">
    <i>
      <x v="20"/>
    </i>
    <i>
      <x v="33"/>
    </i>
    <i>
      <x v="8"/>
    </i>
    <i>
      <x v="15"/>
    </i>
    <i>
      <x v="11"/>
    </i>
  </rowItems>
  <colFields count="1">
    <field x="-2"/>
  </colFields>
  <colItems count="5">
    <i>
      <x/>
    </i>
    <i i="1">
      <x v="1"/>
    </i>
    <i i="2">
      <x v="2"/>
    </i>
    <i i="3">
      <x v="3"/>
    </i>
    <i i="4">
      <x v="4"/>
    </i>
  </colItems>
  <dataFields count="5">
    <dataField name="Sum of 2019" fld="1" baseField="0" baseItem="0"/>
    <dataField name="Sum of 2020" fld="2" baseField="0" baseItem="0"/>
    <dataField name="Sum of 2021" fld="3" baseField="0" baseItem="0"/>
    <dataField name="Sum of 2022" fld="4" baseField="0" baseItem="0"/>
    <dataField name="Sum of 2023" fld="5"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4"/>
          </reference>
          <reference field="0" count="1" selected="0">
            <x v="1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9" series="1">
      <pivotArea type="data" outline="0" fieldPosition="0">
        <references count="1">
          <reference field="4294967294" count="1" selected="0">
            <x v="3"/>
          </reference>
        </references>
      </pivotArea>
    </chartFormat>
    <chartFormat chart="8" format="10" series="1">
      <pivotArea type="data" outline="0" fieldPosition="0">
        <references count="1">
          <reference field="4294967294" count="1" selected="0">
            <x v="4"/>
          </reference>
        </references>
      </pivotArea>
    </chartFormat>
    <chartFormat chart="9" format="11"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1"/>
          </reference>
        </references>
      </pivotArea>
    </chartFormat>
    <chartFormat chart="9" format="13" series="1">
      <pivotArea type="data" outline="0" fieldPosition="0">
        <references count="1">
          <reference field="4294967294" count="1" selected="0">
            <x v="2"/>
          </reference>
        </references>
      </pivotArea>
    </chartFormat>
    <chartFormat chart="9" format="14" series="1">
      <pivotArea type="data" outline="0" fieldPosition="0">
        <references count="1">
          <reference field="4294967294" count="1" selected="0">
            <x v="3"/>
          </reference>
        </references>
      </pivotArea>
    </chartFormat>
    <chartFormat chart="9" format="1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_Uts" xr10:uid="{55978DDB-CB3B-411B-B021-19338A848A6E}" sourceName="States/Uts">
  <pivotTables>
    <pivotTable tabId="8" name="PivotTable1"/>
  </pivotTables>
  <data>
    <tabular pivotCacheId="453169276">
      <items count="36">
        <i x="29" s="1"/>
        <i x="14" s="1"/>
        <i x="31" s="1"/>
        <i x="17" s="1"/>
        <i x="12" s="1"/>
        <i x="21" s="1"/>
        <i x="16" s="1"/>
        <i x="27" s="1"/>
        <i x="2" s="1"/>
        <i x="23" s="1"/>
        <i x="3" s="1"/>
        <i x="6" s="1"/>
        <i x="22" s="1"/>
        <i x="20" s="1"/>
        <i x="18" s="1"/>
        <i x="1" s="1"/>
        <i x="8" s="1"/>
        <i x="34" s="1"/>
        <i x="35" s="1"/>
        <i x="10" s="1"/>
        <i x="0" s="1"/>
        <i x="26" s="1"/>
        <i x="30" s="1"/>
        <i x="32" s="1"/>
        <i x="28" s="1"/>
        <i x="13" s="1"/>
        <i x="25" s="1"/>
        <i x="15" s="1"/>
        <i x="9" s="1"/>
        <i x="33" s="1"/>
        <i x="5" s="1"/>
        <i x="7" s="1"/>
        <i x="24" s="1"/>
        <i x="4" s="1"/>
        <i x="1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7160DC0C-D636-4A16-A616-D9FA8FF31E3E}" cache="Slicer_States_Uts" caption="Job Creation States wise" columnCount="6"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9CFBD99A-B8EA-4C12-AF7E-251261C69049}" cache="Slicer_States_Uts" caption="Job Creation" columnCount="5"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2E9CDC-DCB5-4263-8B4D-14BE2522425B}" name="jobs_industry" displayName="jobs_industry" ref="A1:B57" totalsRowShown="0" headerRowDxfId="39" dataDxfId="38">
  <autoFilter ref="A1:B57" xr:uid="{AC2E9CDC-DCB5-4263-8B4D-14BE2522425B}"/>
  <tableColumns count="2">
    <tableColumn id="1" xr3:uid="{2425E032-CCDD-4EBE-A46E-14D12593DA35}" name="Industry" dataDxfId="37"/>
    <tableColumn id="2" xr3:uid="{9E956A8B-6B9D-4C3C-931E-4C4D272B4133}" name="Number of Direct Jobs" dataDxfId="3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E001AA-5F51-4F4F-B658-B0527138AB27}" name="jobs_startups" displayName="jobs_startups" ref="A1:G38" totalsRowCount="1" headerRowDxfId="17" dataDxfId="16">
  <autoFilter ref="A1:G37" xr:uid="{BEE001AA-5F51-4F4F-B658-B0527138AB27}"/>
  <sortState xmlns:xlrd2="http://schemas.microsoft.com/office/spreadsheetml/2017/richdata2" ref="A2:G37">
    <sortCondition descending="1" ref="G1:G37"/>
  </sortState>
  <tableColumns count="7">
    <tableColumn id="1" xr3:uid="{0DF8A9B1-8F7E-46F3-8A3B-A146E613B553}" name="States/Uts" dataDxfId="15" totalsRowDxfId="14"/>
    <tableColumn id="2" xr3:uid="{8C0E4A08-BA39-4E1D-A705-D3FF998C612E}" name="2019" dataDxfId="13" totalsRowDxfId="12"/>
    <tableColumn id="3" xr3:uid="{5C17FF88-58EB-4AB7-B5B4-D5DBADBF5784}" name="2020" dataDxfId="11" totalsRowDxfId="10"/>
    <tableColumn id="4" xr3:uid="{B7DDE676-540F-4D5E-BD54-0074B2FD7E46}" name="2021" dataDxfId="9" totalsRowDxfId="8"/>
    <tableColumn id="5" xr3:uid="{194CD3D6-C3B0-41E1-9019-7532FCC13699}" name="2022" dataDxfId="7" totalsRowDxfId="6"/>
    <tableColumn id="6" xr3:uid="{BFBC27FA-FFD8-4736-9D1A-9617E5FE058B}" name="2023" dataDxfId="5" totalsRowDxfId="4"/>
    <tableColumn id="7" xr3:uid="{ADF37A3E-C839-45E3-863E-EC5CE62F493B}" name="SUM of Jobs" totalsRowFunction="custom" dataDxfId="3" totalsRowDxfId="2">
      <calculatedColumnFormula>SUM(B2:F2)</calculatedColumnFormula>
      <totalsRowFormula>SUM(jobs_startups[SUM of Jobs])</totalsRow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8A7FCA-A396-4DDC-B8C1-A0AAF6C54A46}" name="total_startups" displayName="total_startups" ref="A1:H38" totalsRowCount="1" headerRowDxfId="35" dataDxfId="34">
  <autoFilter ref="A1:H37" xr:uid="{588A7FCA-A396-4DDC-B8C1-A0AAF6C54A46}"/>
  <sortState xmlns:xlrd2="http://schemas.microsoft.com/office/spreadsheetml/2017/richdata2" ref="A2:H37">
    <sortCondition descending="1" ref="G1:G37"/>
  </sortState>
  <tableColumns count="8">
    <tableColumn id="1" xr3:uid="{93B4A064-753D-4368-BD5C-E730CB979499}" name="States/Uts" dataDxfId="33" totalsRowDxfId="32"/>
    <tableColumn id="2" xr3:uid="{5E7A1BA6-32E3-42A0-98C5-B066683EA1FB}" name="2019" dataDxfId="31" totalsRowDxfId="30"/>
    <tableColumn id="3" xr3:uid="{7C4C23D9-9E4B-4B4B-8A19-8B512D8ABAC5}" name="2020" dataDxfId="29" totalsRowDxfId="28"/>
    <tableColumn id="4" xr3:uid="{BD64B0AE-2362-4719-88C9-AB603370F252}" name="2021" dataDxfId="27" totalsRowDxfId="26"/>
    <tableColumn id="5" xr3:uid="{18CA5A3B-6C5D-442E-BBE0-63D7DE086822}" name="2022" dataDxfId="25" totalsRowDxfId="24"/>
    <tableColumn id="6" xr3:uid="{B2214933-AC50-434E-89A9-10DB5D8F86C1}" name="2023" dataDxfId="23" totalsRowDxfId="22"/>
    <tableColumn id="7" xr3:uid="{FC4B20DE-9115-43B4-8C64-296055987583}" name="Total Startups" totalsRowFunction="custom" dataDxfId="21" totalsRowDxfId="20">
      <calculatedColumnFormula>SUM(B2:F2)</calculatedColumnFormula>
      <totalsRowFormula>SUM(total_startups[[#Headers],[#Data],[Total Startups]])</totalsRowFormula>
    </tableColumn>
    <tableColumn id="8" xr3:uid="{5A268DC4-C0B3-4D81-AEA4-566751A8D24E}" name="Average startups" dataDxfId="19" totalsRowDxfId="18">
      <calculatedColumnFormula>AVERAGE(B2:F2)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3434-AB27-4AC0-B47C-B7C674410441}">
  <dimension ref="A1"/>
  <sheetViews>
    <sheetView tabSelected="1" zoomScale="75" workbookViewId="0">
      <selection activeCell="J28" sqref="J28"/>
    </sheetView>
  </sheetViews>
  <sheetFormatPr defaultRowHeight="14.5" x14ac:dyDescent="0.35"/>
  <sheetData>
    <row r="1" ht="6"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72511-F048-4113-B5B7-9DF089755F49}">
  <dimension ref="A3:F39"/>
  <sheetViews>
    <sheetView workbookViewId="0">
      <selection activeCell="F6" sqref="F6"/>
    </sheetView>
  </sheetViews>
  <sheetFormatPr defaultRowHeight="14.5" x14ac:dyDescent="0.35"/>
  <cols>
    <col min="1" max="1" width="38.08984375" bestFit="1" customWidth="1"/>
    <col min="2" max="6" width="11.08984375" bestFit="1" customWidth="1"/>
  </cols>
  <sheetData>
    <row r="3" spans="1:6" x14ac:dyDescent="0.35">
      <c r="A3" s="3" t="s">
        <v>102</v>
      </c>
      <c r="B3" t="s">
        <v>112</v>
      </c>
      <c r="C3" t="s">
        <v>109</v>
      </c>
      <c r="D3" t="s">
        <v>110</v>
      </c>
      <c r="E3" t="s">
        <v>111</v>
      </c>
      <c r="F3" t="s">
        <v>108</v>
      </c>
    </row>
    <row r="4" spans="1:6" x14ac:dyDescent="0.35">
      <c r="A4" s="4" t="s">
        <v>0</v>
      </c>
      <c r="B4" s="5">
        <v>60</v>
      </c>
      <c r="C4" s="5">
        <v>32</v>
      </c>
      <c r="D4" s="5">
        <v>72</v>
      </c>
      <c r="E4" s="5">
        <v>71</v>
      </c>
      <c r="F4" s="5">
        <v>97</v>
      </c>
    </row>
    <row r="5" spans="1:6" x14ac:dyDescent="0.35">
      <c r="A5" s="4" t="s">
        <v>1</v>
      </c>
      <c r="B5" s="5">
        <v>1552</v>
      </c>
      <c r="C5" s="5">
        <v>2849</v>
      </c>
      <c r="D5" s="5">
        <v>2304</v>
      </c>
      <c r="E5" s="5">
        <v>3067</v>
      </c>
      <c r="F5" s="5">
        <v>5669</v>
      </c>
    </row>
    <row r="6" spans="1:6" x14ac:dyDescent="0.35">
      <c r="A6" s="4" t="s">
        <v>2</v>
      </c>
      <c r="B6" s="5">
        <v>12</v>
      </c>
      <c r="C6" s="5">
        <v>0</v>
      </c>
      <c r="D6" s="5">
        <v>31</v>
      </c>
      <c r="E6" s="5">
        <v>55</v>
      </c>
      <c r="F6" s="5">
        <v>185</v>
      </c>
    </row>
    <row r="7" spans="1:6" x14ac:dyDescent="0.35">
      <c r="A7" s="4" t="s">
        <v>4</v>
      </c>
      <c r="B7" s="5">
        <v>726</v>
      </c>
      <c r="C7" s="5">
        <v>874</v>
      </c>
      <c r="D7" s="5">
        <v>1403</v>
      </c>
      <c r="E7" s="5">
        <v>2553</v>
      </c>
      <c r="F7" s="5">
        <v>3350</v>
      </c>
    </row>
    <row r="8" spans="1:6" x14ac:dyDescent="0.35">
      <c r="A8" s="4" t="s">
        <v>5</v>
      </c>
      <c r="B8" s="5">
        <v>1079</v>
      </c>
      <c r="C8" s="5">
        <v>2134</v>
      </c>
      <c r="D8" s="5">
        <v>3086</v>
      </c>
      <c r="E8" s="5">
        <v>4498</v>
      </c>
      <c r="F8" s="5">
        <v>9057</v>
      </c>
    </row>
    <row r="9" spans="1:6" x14ac:dyDescent="0.35">
      <c r="A9" s="4" t="s">
        <v>6</v>
      </c>
      <c r="B9" s="5">
        <v>312</v>
      </c>
      <c r="C9" s="5">
        <v>355</v>
      </c>
      <c r="D9" s="5">
        <v>978</v>
      </c>
      <c r="E9" s="5">
        <v>898</v>
      </c>
      <c r="F9" s="5">
        <v>1328</v>
      </c>
    </row>
    <row r="10" spans="1:6" x14ac:dyDescent="0.35">
      <c r="A10" s="4" t="s">
        <v>7</v>
      </c>
      <c r="B10" s="5">
        <v>1423</v>
      </c>
      <c r="C10" s="5">
        <v>1054</v>
      </c>
      <c r="D10" s="5">
        <v>1694</v>
      </c>
      <c r="E10" s="5">
        <v>2126</v>
      </c>
      <c r="F10" s="5">
        <v>3189</v>
      </c>
    </row>
    <row r="11" spans="1:6" x14ac:dyDescent="0.35">
      <c r="A11" s="4" t="s">
        <v>8</v>
      </c>
      <c r="B11" s="5">
        <v>29</v>
      </c>
      <c r="C11" s="5">
        <v>31</v>
      </c>
      <c r="D11" s="5">
        <v>136</v>
      </c>
      <c r="E11" s="5">
        <v>147</v>
      </c>
      <c r="F11" s="5">
        <v>138</v>
      </c>
    </row>
    <row r="12" spans="1:6" x14ac:dyDescent="0.35">
      <c r="A12" s="4" t="s">
        <v>9</v>
      </c>
      <c r="B12" s="5">
        <v>13862</v>
      </c>
      <c r="C12" s="5">
        <v>17638</v>
      </c>
      <c r="D12" s="5">
        <v>22231</v>
      </c>
      <c r="E12" s="5">
        <v>29955</v>
      </c>
      <c r="F12" s="5">
        <v>38280</v>
      </c>
    </row>
    <row r="13" spans="1:6" x14ac:dyDescent="0.35">
      <c r="A13" s="4" t="s">
        <v>10</v>
      </c>
      <c r="B13" s="5">
        <v>349</v>
      </c>
      <c r="C13" s="5">
        <v>340</v>
      </c>
      <c r="D13" s="5">
        <v>494</v>
      </c>
      <c r="E13" s="5">
        <v>830</v>
      </c>
      <c r="F13" s="5">
        <v>824</v>
      </c>
    </row>
    <row r="14" spans="1:6" x14ac:dyDescent="0.35">
      <c r="A14" s="4" t="s">
        <v>11</v>
      </c>
      <c r="B14" s="5">
        <v>6077</v>
      </c>
      <c r="C14" s="5">
        <v>9295</v>
      </c>
      <c r="D14" s="5">
        <v>17329</v>
      </c>
      <c r="E14" s="5">
        <v>23610</v>
      </c>
      <c r="F14" s="5">
        <v>48138</v>
      </c>
    </row>
    <row r="15" spans="1:6" x14ac:dyDescent="0.35">
      <c r="A15" s="4" t="s">
        <v>12</v>
      </c>
      <c r="B15" s="5">
        <v>9990</v>
      </c>
      <c r="C15" s="5">
        <v>10515</v>
      </c>
      <c r="D15" s="5">
        <v>10006</v>
      </c>
      <c r="E15" s="5">
        <v>13694</v>
      </c>
      <c r="F15" s="5">
        <v>26021</v>
      </c>
    </row>
    <row r="16" spans="1:6" x14ac:dyDescent="0.35">
      <c r="A16" s="4" t="s">
        <v>13</v>
      </c>
      <c r="B16" s="5">
        <v>195</v>
      </c>
      <c r="C16" s="5">
        <v>281</v>
      </c>
      <c r="D16" s="5">
        <v>344</v>
      </c>
      <c r="E16" s="5">
        <v>972</v>
      </c>
      <c r="F16" s="5">
        <v>1079</v>
      </c>
    </row>
    <row r="17" spans="1:6" x14ac:dyDescent="0.35">
      <c r="A17" s="4" t="s">
        <v>14</v>
      </c>
      <c r="B17" s="5">
        <v>238</v>
      </c>
      <c r="C17" s="5">
        <v>447</v>
      </c>
      <c r="D17" s="5">
        <v>776</v>
      </c>
      <c r="E17" s="5">
        <v>1297</v>
      </c>
      <c r="F17" s="5">
        <v>2452</v>
      </c>
    </row>
    <row r="18" spans="1:6" x14ac:dyDescent="0.35">
      <c r="A18" s="4" t="s">
        <v>15</v>
      </c>
      <c r="B18" s="5">
        <v>624</v>
      </c>
      <c r="C18" s="5">
        <v>1353</v>
      </c>
      <c r="D18" s="5">
        <v>1362</v>
      </c>
      <c r="E18" s="5">
        <v>1827</v>
      </c>
      <c r="F18" s="5">
        <v>3525</v>
      </c>
    </row>
    <row r="19" spans="1:6" x14ac:dyDescent="0.35">
      <c r="A19" s="4" t="s">
        <v>16</v>
      </c>
      <c r="B19" s="5">
        <v>20256</v>
      </c>
      <c r="C19" s="5">
        <v>23767</v>
      </c>
      <c r="D19" s="5">
        <v>20812</v>
      </c>
      <c r="E19" s="5">
        <v>24544</v>
      </c>
      <c r="F19" s="5">
        <v>35066</v>
      </c>
    </row>
    <row r="20" spans="1:6" x14ac:dyDescent="0.35">
      <c r="A20" s="4" t="s">
        <v>17</v>
      </c>
      <c r="B20" s="5">
        <v>4413</v>
      </c>
      <c r="C20" s="5">
        <v>5446</v>
      </c>
      <c r="D20" s="5">
        <v>7582</v>
      </c>
      <c r="E20" s="5">
        <v>10286</v>
      </c>
      <c r="F20" s="5">
        <v>11737</v>
      </c>
    </row>
    <row r="21" spans="1:6" x14ac:dyDescent="0.35">
      <c r="A21" s="4" t="s">
        <v>18</v>
      </c>
      <c r="B21" s="5">
        <v>0</v>
      </c>
      <c r="C21" s="5">
        <v>3</v>
      </c>
      <c r="D21" s="5">
        <v>0</v>
      </c>
      <c r="E21" s="5">
        <v>32</v>
      </c>
      <c r="F21" s="5">
        <v>29</v>
      </c>
    </row>
    <row r="22" spans="1:6" x14ac:dyDescent="0.35">
      <c r="A22" s="4" t="s">
        <v>19</v>
      </c>
      <c r="B22" s="5">
        <v>0</v>
      </c>
      <c r="C22" s="5">
        <v>7</v>
      </c>
      <c r="D22" s="5">
        <v>0</v>
      </c>
      <c r="E22" s="5">
        <v>0</v>
      </c>
      <c r="F22" s="5">
        <v>31</v>
      </c>
    </row>
    <row r="23" spans="1:6" x14ac:dyDescent="0.35">
      <c r="A23" s="4" t="s">
        <v>20</v>
      </c>
      <c r="B23" s="5">
        <v>3955</v>
      </c>
      <c r="C23" s="5">
        <v>3468</v>
      </c>
      <c r="D23" s="5">
        <v>6568</v>
      </c>
      <c r="E23" s="5">
        <v>11511</v>
      </c>
      <c r="F23" s="5">
        <v>12070</v>
      </c>
    </row>
    <row r="24" spans="1:6" x14ac:dyDescent="0.35">
      <c r="A24" s="4" t="s">
        <v>21</v>
      </c>
      <c r="B24" s="5">
        <v>21979</v>
      </c>
      <c r="C24" s="5">
        <v>29133</v>
      </c>
      <c r="D24" s="5">
        <v>38354</v>
      </c>
      <c r="E24" s="5">
        <v>50913</v>
      </c>
      <c r="F24" s="5">
        <v>64974</v>
      </c>
    </row>
    <row r="25" spans="1:6" x14ac:dyDescent="0.35">
      <c r="A25" s="4" t="s">
        <v>22</v>
      </c>
      <c r="B25" s="5">
        <v>22</v>
      </c>
      <c r="C25" s="5">
        <v>116</v>
      </c>
      <c r="D25" s="5">
        <v>382</v>
      </c>
      <c r="E25" s="5">
        <v>309</v>
      </c>
      <c r="F25" s="5">
        <v>195</v>
      </c>
    </row>
    <row r="26" spans="1:6" x14ac:dyDescent="0.35">
      <c r="A26" s="4" t="s">
        <v>23</v>
      </c>
      <c r="B26" s="5">
        <v>27</v>
      </c>
      <c r="C26" s="5">
        <v>0</v>
      </c>
      <c r="D26" s="5">
        <v>48</v>
      </c>
      <c r="E26" s="5">
        <v>61</v>
      </c>
      <c r="F26" s="5">
        <v>157</v>
      </c>
    </row>
    <row r="27" spans="1:6" x14ac:dyDescent="0.35">
      <c r="A27" s="4" t="s">
        <v>24</v>
      </c>
      <c r="B27" s="5">
        <v>0</v>
      </c>
      <c r="C27" s="5">
        <v>2</v>
      </c>
      <c r="D27" s="5">
        <v>15</v>
      </c>
      <c r="E27" s="5">
        <v>106</v>
      </c>
      <c r="F27" s="5">
        <v>79</v>
      </c>
    </row>
    <row r="28" spans="1:6" x14ac:dyDescent="0.35">
      <c r="A28" s="4" t="s">
        <v>25</v>
      </c>
      <c r="B28" s="5">
        <v>10</v>
      </c>
      <c r="C28" s="5">
        <v>32</v>
      </c>
      <c r="D28" s="5">
        <v>81</v>
      </c>
      <c r="E28" s="5">
        <v>71</v>
      </c>
      <c r="F28" s="5">
        <v>268</v>
      </c>
    </row>
    <row r="29" spans="1:6" x14ac:dyDescent="0.35">
      <c r="A29" s="4" t="s">
        <v>26</v>
      </c>
      <c r="B29" s="5">
        <v>2248</v>
      </c>
      <c r="C29" s="5">
        <v>2220</v>
      </c>
      <c r="D29" s="5">
        <v>3742</v>
      </c>
      <c r="E29" s="5">
        <v>4526</v>
      </c>
      <c r="F29" s="5">
        <v>6532</v>
      </c>
    </row>
    <row r="30" spans="1:6" x14ac:dyDescent="0.35">
      <c r="A30" s="4" t="s">
        <v>27</v>
      </c>
      <c r="B30" s="5">
        <v>130</v>
      </c>
      <c r="C30" s="5">
        <v>68</v>
      </c>
      <c r="D30" s="5">
        <v>198</v>
      </c>
      <c r="E30" s="5">
        <v>233</v>
      </c>
      <c r="F30" s="5">
        <v>568</v>
      </c>
    </row>
    <row r="31" spans="1:6" x14ac:dyDescent="0.35">
      <c r="A31" s="4" t="s">
        <v>28</v>
      </c>
      <c r="B31" s="5">
        <v>1230</v>
      </c>
      <c r="C31" s="5">
        <v>1673</v>
      </c>
      <c r="D31" s="5">
        <v>2429</v>
      </c>
      <c r="E31" s="5">
        <v>2318</v>
      </c>
      <c r="F31" s="5">
        <v>4935</v>
      </c>
    </row>
    <row r="32" spans="1:6" x14ac:dyDescent="0.35">
      <c r="A32" s="4" t="s">
        <v>29</v>
      </c>
      <c r="B32" s="5">
        <v>3819</v>
      </c>
      <c r="C32" s="5">
        <v>4439</v>
      </c>
      <c r="D32" s="5">
        <v>5579</v>
      </c>
      <c r="E32" s="5">
        <v>10590</v>
      </c>
      <c r="F32" s="5">
        <v>13724</v>
      </c>
    </row>
    <row r="33" spans="1:6" x14ac:dyDescent="0.35">
      <c r="A33" s="4" t="s">
        <v>30</v>
      </c>
      <c r="B33" s="5">
        <v>6</v>
      </c>
      <c r="C33" s="5">
        <v>2</v>
      </c>
      <c r="D33" s="5">
        <v>29</v>
      </c>
      <c r="E33" s="5">
        <v>22</v>
      </c>
      <c r="F33" s="5">
        <v>8</v>
      </c>
    </row>
    <row r="34" spans="1:6" x14ac:dyDescent="0.35">
      <c r="A34" s="4" t="s">
        <v>31</v>
      </c>
      <c r="B34" s="5">
        <v>6860</v>
      </c>
      <c r="C34" s="5">
        <v>7772</v>
      </c>
      <c r="D34" s="5">
        <v>9684</v>
      </c>
      <c r="E34" s="5">
        <v>17192</v>
      </c>
      <c r="F34" s="5">
        <v>30536</v>
      </c>
    </row>
    <row r="35" spans="1:6" x14ac:dyDescent="0.35">
      <c r="A35" s="4" t="s">
        <v>32</v>
      </c>
      <c r="B35" s="5">
        <v>8622</v>
      </c>
      <c r="C35" s="5">
        <v>8576</v>
      </c>
      <c r="D35" s="5">
        <v>9581</v>
      </c>
      <c r="E35" s="5">
        <v>14249</v>
      </c>
      <c r="F35" s="5">
        <v>18378</v>
      </c>
    </row>
    <row r="36" spans="1:6" x14ac:dyDescent="0.35">
      <c r="A36" s="4" t="s">
        <v>33</v>
      </c>
      <c r="B36" s="5">
        <v>46</v>
      </c>
      <c r="C36" s="5">
        <v>735</v>
      </c>
      <c r="D36" s="5">
        <v>95</v>
      </c>
      <c r="E36" s="5">
        <v>188</v>
      </c>
      <c r="F36" s="5">
        <v>193</v>
      </c>
    </row>
    <row r="37" spans="1:6" x14ac:dyDescent="0.35">
      <c r="A37" s="4" t="s">
        <v>34</v>
      </c>
      <c r="B37" s="5">
        <v>8823</v>
      </c>
      <c r="C37" s="5">
        <v>13226</v>
      </c>
      <c r="D37" s="5">
        <v>18812</v>
      </c>
      <c r="E37" s="5">
        <v>22673</v>
      </c>
      <c r="F37" s="5">
        <v>33831</v>
      </c>
    </row>
    <row r="38" spans="1:6" x14ac:dyDescent="0.35">
      <c r="A38" s="4" t="s">
        <v>35</v>
      </c>
      <c r="B38" s="5">
        <v>701</v>
      </c>
      <c r="C38" s="5">
        <v>709</v>
      </c>
      <c r="D38" s="5">
        <v>1696</v>
      </c>
      <c r="E38" s="5">
        <v>1684</v>
      </c>
      <c r="F38" s="5">
        <v>2401</v>
      </c>
    </row>
    <row r="39" spans="1:6" x14ac:dyDescent="0.35">
      <c r="A39" s="4" t="s">
        <v>36</v>
      </c>
      <c r="B39" s="5">
        <v>3396</v>
      </c>
      <c r="C39" s="5">
        <v>2604</v>
      </c>
      <c r="D39" s="5">
        <v>6632</v>
      </c>
      <c r="E39" s="5">
        <v>9353</v>
      </c>
      <c r="F39" s="5">
        <v>11468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60D1-B760-4752-9615-84B20ED2C1BE}">
  <dimension ref="A3:B14"/>
  <sheetViews>
    <sheetView zoomScale="71" workbookViewId="0">
      <selection activeCell="H25" sqref="H25"/>
    </sheetView>
  </sheetViews>
  <sheetFormatPr defaultRowHeight="14.5" x14ac:dyDescent="0.35"/>
  <cols>
    <col min="1" max="1" width="32.54296875" bestFit="1" customWidth="1"/>
    <col min="2" max="2" width="26" bestFit="1" customWidth="1"/>
  </cols>
  <sheetData>
    <row r="3" spans="1:2" x14ac:dyDescent="0.35">
      <c r="A3" s="3" t="s">
        <v>102</v>
      </c>
      <c r="B3" t="s">
        <v>103</v>
      </c>
    </row>
    <row r="4" spans="1:2" x14ac:dyDescent="0.35">
      <c r="A4" s="4" t="s">
        <v>95</v>
      </c>
      <c r="B4">
        <v>50894</v>
      </c>
    </row>
    <row r="5" spans="1:2" x14ac:dyDescent="0.35">
      <c r="A5" s="4" t="s">
        <v>67</v>
      </c>
      <c r="B5">
        <v>56819</v>
      </c>
    </row>
    <row r="6" spans="1:2" x14ac:dyDescent="0.35">
      <c r="A6" s="4" t="s">
        <v>48</v>
      </c>
      <c r="B6">
        <v>83307</v>
      </c>
    </row>
    <row r="7" spans="1:2" x14ac:dyDescent="0.35">
      <c r="A7" s="4" t="s">
        <v>72</v>
      </c>
      <c r="B7">
        <v>87983</v>
      </c>
    </row>
    <row r="8" spans="1:2" x14ac:dyDescent="0.35">
      <c r="A8" s="4" t="s">
        <v>68</v>
      </c>
      <c r="B8">
        <v>88468</v>
      </c>
    </row>
    <row r="9" spans="1:2" x14ac:dyDescent="0.35">
      <c r="A9" s="4" t="s">
        <v>60</v>
      </c>
      <c r="B9">
        <v>88702</v>
      </c>
    </row>
    <row r="10" spans="1:2" x14ac:dyDescent="0.35">
      <c r="A10" s="4" t="s">
        <v>63</v>
      </c>
      <c r="B10">
        <v>90414</v>
      </c>
    </row>
    <row r="11" spans="1:2" x14ac:dyDescent="0.35">
      <c r="A11" s="4" t="s">
        <v>85</v>
      </c>
      <c r="B11">
        <v>94060</v>
      </c>
    </row>
    <row r="12" spans="1:2" x14ac:dyDescent="0.35">
      <c r="A12" s="4" t="s">
        <v>70</v>
      </c>
      <c r="B12">
        <v>147639</v>
      </c>
    </row>
    <row r="13" spans="1:2" x14ac:dyDescent="0.35">
      <c r="A13" s="4" t="s">
        <v>75</v>
      </c>
      <c r="B13">
        <v>204119</v>
      </c>
    </row>
    <row r="14" spans="1:2" x14ac:dyDescent="0.35">
      <c r="A14" s="4" t="s">
        <v>43</v>
      </c>
      <c r="B14">
        <v>992405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49CD-1C45-4A51-BE55-37563AB0E694}">
  <dimension ref="A1:B58"/>
  <sheetViews>
    <sheetView workbookViewId="0">
      <pane ySplit="1" topLeftCell="A2" activePane="bottomLeft" state="frozen"/>
      <selection pane="bottomLeft" activeCell="B2" sqref="B2"/>
    </sheetView>
  </sheetViews>
  <sheetFormatPr defaultRowHeight="14.5" x14ac:dyDescent="0.35"/>
  <cols>
    <col min="1" max="1" width="32.54296875" bestFit="1" customWidth="1"/>
    <col min="2" max="2" width="21.36328125" customWidth="1"/>
  </cols>
  <sheetData>
    <row r="1" spans="1:2" x14ac:dyDescent="0.35">
      <c r="A1" s="2" t="s">
        <v>44</v>
      </c>
      <c r="B1" s="2" t="s">
        <v>45</v>
      </c>
    </row>
    <row r="2" spans="1:2" x14ac:dyDescent="0.35">
      <c r="A2" s="1" t="s">
        <v>46</v>
      </c>
      <c r="B2" s="1">
        <v>11839</v>
      </c>
    </row>
    <row r="3" spans="1:2" x14ac:dyDescent="0.35">
      <c r="A3" s="1" t="s">
        <v>47</v>
      </c>
      <c r="B3" s="1">
        <v>12801</v>
      </c>
    </row>
    <row r="4" spans="1:2" x14ac:dyDescent="0.35">
      <c r="A4" s="1" t="s">
        <v>48</v>
      </c>
      <c r="B4" s="1">
        <v>83307</v>
      </c>
    </row>
    <row r="5" spans="1:2" x14ac:dyDescent="0.35">
      <c r="A5" s="1" t="s">
        <v>49</v>
      </c>
      <c r="B5" s="1">
        <v>23918</v>
      </c>
    </row>
    <row r="6" spans="1:2" x14ac:dyDescent="0.35">
      <c r="A6" s="1" t="s">
        <v>50</v>
      </c>
      <c r="B6" s="1">
        <v>1205</v>
      </c>
    </row>
    <row r="7" spans="1:2" x14ac:dyDescent="0.35">
      <c r="A7" s="1" t="s">
        <v>51</v>
      </c>
      <c r="B7" s="1">
        <v>9450</v>
      </c>
    </row>
    <row r="8" spans="1:2" x14ac:dyDescent="0.35">
      <c r="A8" s="1" t="s">
        <v>52</v>
      </c>
      <c r="B8" s="1">
        <v>2104</v>
      </c>
    </row>
    <row r="9" spans="1:2" x14ac:dyDescent="0.35">
      <c r="A9" s="1" t="s">
        <v>53</v>
      </c>
      <c r="B9" s="1">
        <v>5848</v>
      </c>
    </row>
    <row r="10" spans="1:2" x14ac:dyDescent="0.35">
      <c r="A10" s="1" t="s">
        <v>54</v>
      </c>
      <c r="B10" s="1">
        <v>10326</v>
      </c>
    </row>
    <row r="11" spans="1:2" x14ac:dyDescent="0.35">
      <c r="A11" s="1" t="s">
        <v>55</v>
      </c>
      <c r="B11" s="1">
        <v>4441</v>
      </c>
    </row>
    <row r="12" spans="1:2" x14ac:dyDescent="0.35">
      <c r="A12" s="1" t="s">
        <v>56</v>
      </c>
      <c r="B12" s="1">
        <v>39535</v>
      </c>
    </row>
    <row r="13" spans="1:2" x14ac:dyDescent="0.35">
      <c r="A13" s="1" t="s">
        <v>57</v>
      </c>
      <c r="B13" s="1">
        <v>3557</v>
      </c>
    </row>
    <row r="14" spans="1:2" x14ac:dyDescent="0.35">
      <c r="A14" s="1" t="s">
        <v>58</v>
      </c>
      <c r="B14" s="1">
        <v>16675</v>
      </c>
    </row>
    <row r="15" spans="1:2" x14ac:dyDescent="0.35">
      <c r="A15" s="1" t="s">
        <v>59</v>
      </c>
      <c r="B15" s="1">
        <v>2484</v>
      </c>
    </row>
    <row r="16" spans="1:2" x14ac:dyDescent="0.35">
      <c r="A16" s="1" t="s">
        <v>60</v>
      </c>
      <c r="B16" s="1">
        <v>88702</v>
      </c>
    </row>
    <row r="17" spans="1:2" x14ac:dyDescent="0.35">
      <c r="A17" s="1" t="s">
        <v>61</v>
      </c>
      <c r="B17" s="1">
        <v>717</v>
      </c>
    </row>
    <row r="18" spans="1:2" x14ac:dyDescent="0.35">
      <c r="A18" s="1" t="s">
        <v>62</v>
      </c>
      <c r="B18" s="1">
        <v>9039</v>
      </c>
    </row>
    <row r="19" spans="1:2" x14ac:dyDescent="0.35">
      <c r="A19" s="1" t="s">
        <v>63</v>
      </c>
      <c r="B19" s="1">
        <v>90414</v>
      </c>
    </row>
    <row r="20" spans="1:2" x14ac:dyDescent="0.35">
      <c r="A20" s="1" t="s">
        <v>64</v>
      </c>
      <c r="B20" s="1">
        <v>24899</v>
      </c>
    </row>
    <row r="21" spans="1:2" x14ac:dyDescent="0.35">
      <c r="A21" s="1" t="s">
        <v>65</v>
      </c>
      <c r="B21" s="1">
        <v>5503</v>
      </c>
    </row>
    <row r="22" spans="1:2" x14ac:dyDescent="0.35">
      <c r="A22" s="1" t="s">
        <v>66</v>
      </c>
      <c r="B22" s="1">
        <v>24253</v>
      </c>
    </row>
    <row r="23" spans="1:2" x14ac:dyDescent="0.35">
      <c r="A23" s="1" t="s">
        <v>67</v>
      </c>
      <c r="B23" s="1">
        <v>56819</v>
      </c>
    </row>
    <row r="24" spans="1:2" x14ac:dyDescent="0.35">
      <c r="A24" s="1" t="s">
        <v>68</v>
      </c>
      <c r="B24" s="1">
        <v>88468</v>
      </c>
    </row>
    <row r="25" spans="1:2" x14ac:dyDescent="0.35">
      <c r="A25" s="1" t="s">
        <v>69</v>
      </c>
      <c r="B25" s="1">
        <v>27808</v>
      </c>
    </row>
    <row r="26" spans="1:2" x14ac:dyDescent="0.35">
      <c r="A26" s="1" t="s">
        <v>70</v>
      </c>
      <c r="B26" s="1">
        <v>147639</v>
      </c>
    </row>
    <row r="27" spans="1:2" x14ac:dyDescent="0.35">
      <c r="A27" s="1" t="s">
        <v>71</v>
      </c>
      <c r="B27" s="1">
        <v>17530</v>
      </c>
    </row>
    <row r="28" spans="1:2" x14ac:dyDescent="0.35">
      <c r="A28" s="1" t="s">
        <v>72</v>
      </c>
      <c r="B28" s="1">
        <v>87983</v>
      </c>
    </row>
    <row r="29" spans="1:2" x14ac:dyDescent="0.35">
      <c r="A29" s="1" t="s">
        <v>73</v>
      </c>
      <c r="B29" s="1">
        <v>3453</v>
      </c>
    </row>
    <row r="30" spans="1:2" x14ac:dyDescent="0.35">
      <c r="A30" s="1" t="s">
        <v>74</v>
      </c>
      <c r="B30" s="1">
        <v>14885</v>
      </c>
    </row>
    <row r="31" spans="1:2" x14ac:dyDescent="0.35">
      <c r="A31" s="1" t="s">
        <v>75</v>
      </c>
      <c r="B31" s="1">
        <v>204119</v>
      </c>
    </row>
    <row r="32" spans="1:2" x14ac:dyDescent="0.35">
      <c r="A32" s="1" t="s">
        <v>76</v>
      </c>
      <c r="B32" s="1">
        <v>11608</v>
      </c>
    </row>
    <row r="33" spans="1:2" x14ac:dyDescent="0.35">
      <c r="A33" s="1" t="s">
        <v>77</v>
      </c>
      <c r="B33" s="1">
        <v>29685</v>
      </c>
    </row>
    <row r="34" spans="1:2" x14ac:dyDescent="0.35">
      <c r="A34" s="1" t="s">
        <v>78</v>
      </c>
      <c r="B34" s="1">
        <v>20515</v>
      </c>
    </row>
    <row r="35" spans="1:2" x14ac:dyDescent="0.35">
      <c r="A35" s="1" t="s">
        <v>79</v>
      </c>
      <c r="B35" s="1">
        <v>1850</v>
      </c>
    </row>
    <row r="36" spans="1:2" x14ac:dyDescent="0.35">
      <c r="A36" s="1" t="s">
        <v>80</v>
      </c>
      <c r="B36" s="1">
        <v>12856</v>
      </c>
    </row>
    <row r="37" spans="1:2" x14ac:dyDescent="0.35">
      <c r="A37" s="1" t="s">
        <v>81</v>
      </c>
      <c r="B37" s="1">
        <v>14179</v>
      </c>
    </row>
    <row r="38" spans="1:2" x14ac:dyDescent="0.35">
      <c r="A38" s="1" t="s">
        <v>82</v>
      </c>
      <c r="B38" s="1">
        <v>28278</v>
      </c>
    </row>
    <row r="39" spans="1:2" x14ac:dyDescent="0.35">
      <c r="A39" s="1" t="s">
        <v>83</v>
      </c>
      <c r="B39" s="1">
        <v>252</v>
      </c>
    </row>
    <row r="40" spans="1:2" x14ac:dyDescent="0.35">
      <c r="A40" s="1" t="s">
        <v>84</v>
      </c>
      <c r="B40" s="1">
        <v>3054</v>
      </c>
    </row>
    <row r="41" spans="1:2" x14ac:dyDescent="0.35">
      <c r="A41" s="1" t="s">
        <v>85</v>
      </c>
      <c r="B41" s="1">
        <v>94060</v>
      </c>
    </row>
    <row r="42" spans="1:2" x14ac:dyDescent="0.35">
      <c r="A42" s="1" t="s">
        <v>86</v>
      </c>
      <c r="B42" s="1">
        <v>15873</v>
      </c>
    </row>
    <row r="43" spans="1:2" x14ac:dyDescent="0.35">
      <c r="A43" s="1" t="s">
        <v>87</v>
      </c>
      <c r="B43" s="1">
        <v>41523</v>
      </c>
    </row>
    <row r="44" spans="1:2" x14ac:dyDescent="0.35">
      <c r="A44" s="1" t="s">
        <v>88</v>
      </c>
      <c r="B44" s="1">
        <v>33114</v>
      </c>
    </row>
    <row r="45" spans="1:2" x14ac:dyDescent="0.35">
      <c r="A45" s="1" t="s">
        <v>89</v>
      </c>
      <c r="B45" s="1">
        <v>5956</v>
      </c>
    </row>
    <row r="46" spans="1:2" x14ac:dyDescent="0.35">
      <c r="A46" s="1" t="s">
        <v>90</v>
      </c>
      <c r="B46" s="1">
        <v>9245</v>
      </c>
    </row>
    <row r="47" spans="1:2" x14ac:dyDescent="0.35">
      <c r="A47" s="1" t="s">
        <v>91</v>
      </c>
      <c r="B47" s="1">
        <v>27907</v>
      </c>
    </row>
    <row r="48" spans="1:2" x14ac:dyDescent="0.35">
      <c r="A48" s="1" t="s">
        <v>92</v>
      </c>
      <c r="B48" s="1">
        <v>7973</v>
      </c>
    </row>
    <row r="49" spans="1:2" x14ac:dyDescent="0.35">
      <c r="A49" s="1" t="s">
        <v>93</v>
      </c>
      <c r="B49" s="1">
        <v>5136</v>
      </c>
    </row>
    <row r="50" spans="1:2" x14ac:dyDescent="0.35">
      <c r="A50" s="1" t="s">
        <v>94</v>
      </c>
      <c r="B50" s="1">
        <v>6500</v>
      </c>
    </row>
    <row r="51" spans="1:2" x14ac:dyDescent="0.35">
      <c r="A51" s="1" t="s">
        <v>95</v>
      </c>
      <c r="B51" s="1">
        <v>50894</v>
      </c>
    </row>
    <row r="52" spans="1:2" x14ac:dyDescent="0.35">
      <c r="A52" s="1" t="s">
        <v>96</v>
      </c>
      <c r="B52" s="1">
        <v>16524</v>
      </c>
    </row>
    <row r="53" spans="1:2" x14ac:dyDescent="0.35">
      <c r="A53" s="1" t="s">
        <v>97</v>
      </c>
      <c r="B53" s="1">
        <v>38867</v>
      </c>
    </row>
    <row r="54" spans="1:2" x14ac:dyDescent="0.35">
      <c r="A54" s="1" t="s">
        <v>98</v>
      </c>
      <c r="B54" s="1">
        <v>4802</v>
      </c>
    </row>
    <row r="55" spans="1:2" x14ac:dyDescent="0.35">
      <c r="A55" s="1" t="s">
        <v>99</v>
      </c>
      <c r="B55" s="1">
        <v>30509</v>
      </c>
    </row>
    <row r="56" spans="1:2" x14ac:dyDescent="0.35">
      <c r="A56" s="1" t="s">
        <v>100</v>
      </c>
      <c r="B56" s="1">
        <v>23828</v>
      </c>
    </row>
    <row r="57" spans="1:2" x14ac:dyDescent="0.35">
      <c r="A57" s="1" t="s">
        <v>101</v>
      </c>
      <c r="B57" s="1">
        <v>12810</v>
      </c>
    </row>
    <row r="58" spans="1:2" x14ac:dyDescent="0.35">
      <c r="A58" s="1"/>
      <c r="B58"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B41AA-3B46-463E-9E08-51FF4FBC45A7}">
  <dimension ref="A3:F8"/>
  <sheetViews>
    <sheetView topLeftCell="A6" workbookViewId="0">
      <selection activeCell="M15" sqref="M15"/>
    </sheetView>
  </sheetViews>
  <sheetFormatPr defaultRowHeight="14.5" x14ac:dyDescent="0.35"/>
  <cols>
    <col min="1" max="1" width="12.36328125" bestFit="1" customWidth="1"/>
    <col min="2" max="6" width="11.08984375" bestFit="1" customWidth="1"/>
    <col min="7" max="7" width="17.453125" bestFit="1" customWidth="1"/>
  </cols>
  <sheetData>
    <row r="3" spans="1:6" x14ac:dyDescent="0.35">
      <c r="A3" s="3" t="s">
        <v>102</v>
      </c>
      <c r="B3" t="s">
        <v>112</v>
      </c>
      <c r="C3" t="s">
        <v>109</v>
      </c>
      <c r="D3" t="s">
        <v>110</v>
      </c>
      <c r="E3" t="s">
        <v>111</v>
      </c>
      <c r="F3" t="s">
        <v>108</v>
      </c>
    </row>
    <row r="4" spans="1:6" x14ac:dyDescent="0.35">
      <c r="A4" s="4" t="s">
        <v>21</v>
      </c>
      <c r="B4" s="5">
        <v>21979</v>
      </c>
      <c r="C4" s="5">
        <v>29133</v>
      </c>
      <c r="D4" s="5">
        <v>38354</v>
      </c>
      <c r="E4" s="5">
        <v>50913</v>
      </c>
      <c r="F4" s="5">
        <v>64974</v>
      </c>
    </row>
    <row r="5" spans="1:6" x14ac:dyDescent="0.35">
      <c r="A5" s="4" t="s">
        <v>9</v>
      </c>
      <c r="B5" s="5">
        <v>13862</v>
      </c>
      <c r="C5" s="5">
        <v>17638</v>
      </c>
      <c r="D5" s="5">
        <v>22231</v>
      </c>
      <c r="E5" s="5">
        <v>29955</v>
      </c>
      <c r="F5" s="5">
        <v>38280</v>
      </c>
    </row>
    <row r="6" spans="1:6" x14ac:dyDescent="0.35">
      <c r="A6" s="4" t="s">
        <v>16</v>
      </c>
      <c r="B6" s="5">
        <v>20256</v>
      </c>
      <c r="C6" s="5">
        <v>23767</v>
      </c>
      <c r="D6" s="5">
        <v>20812</v>
      </c>
      <c r="E6" s="5">
        <v>24544</v>
      </c>
      <c r="F6" s="5">
        <v>35066</v>
      </c>
    </row>
    <row r="7" spans="1:6" x14ac:dyDescent="0.35">
      <c r="A7" s="4" t="s">
        <v>34</v>
      </c>
      <c r="B7" s="5">
        <v>8823</v>
      </c>
      <c r="C7" s="5">
        <v>13226</v>
      </c>
      <c r="D7" s="5">
        <v>18812</v>
      </c>
      <c r="E7" s="5">
        <v>22673</v>
      </c>
      <c r="F7" s="5">
        <v>33831</v>
      </c>
    </row>
    <row r="8" spans="1:6" x14ac:dyDescent="0.35">
      <c r="A8" s="4" t="s">
        <v>12</v>
      </c>
      <c r="B8" s="5">
        <v>9990</v>
      </c>
      <c r="C8" s="5">
        <v>10515</v>
      </c>
      <c r="D8" s="5">
        <v>10006</v>
      </c>
      <c r="E8" s="5">
        <v>13694</v>
      </c>
      <c r="F8" s="5">
        <v>26021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88421-EB78-48E9-A7F5-075B5677003A}">
  <dimension ref="A1:G38"/>
  <sheetViews>
    <sheetView workbookViewId="0">
      <pane ySplit="1" topLeftCell="A2" activePane="bottomLeft" state="frozen"/>
      <selection pane="bottomLeft" activeCell="A2" sqref="A2:G37"/>
    </sheetView>
  </sheetViews>
  <sheetFormatPr defaultRowHeight="14.5" x14ac:dyDescent="0.35"/>
  <cols>
    <col min="1" max="1" width="38.08984375" bestFit="1" customWidth="1"/>
    <col min="2" max="6" width="10.26953125" customWidth="1"/>
    <col min="7" max="7" width="15.54296875" bestFit="1" customWidth="1"/>
  </cols>
  <sheetData>
    <row r="1" spans="1:7" x14ac:dyDescent="0.35">
      <c r="A1" s="1" t="s">
        <v>37</v>
      </c>
      <c r="B1" s="1" t="s">
        <v>38</v>
      </c>
      <c r="C1" s="1" t="s">
        <v>39</v>
      </c>
      <c r="D1" s="1" t="s">
        <v>40</v>
      </c>
      <c r="E1" s="1" t="s">
        <v>41</v>
      </c>
      <c r="F1" s="1" t="s">
        <v>42</v>
      </c>
      <c r="G1" s="1" t="s">
        <v>106</v>
      </c>
    </row>
    <row r="2" spans="1:7" x14ac:dyDescent="0.35">
      <c r="A2" s="1" t="s">
        <v>21</v>
      </c>
      <c r="B2" s="1">
        <v>21979</v>
      </c>
      <c r="C2" s="1">
        <v>29133</v>
      </c>
      <c r="D2" s="1">
        <v>38354</v>
      </c>
      <c r="E2" s="1">
        <v>50913</v>
      </c>
      <c r="F2" s="1">
        <v>64974</v>
      </c>
      <c r="G2" s="1">
        <f t="shared" ref="G2:G37" si="0">SUM(B2:F2)</f>
        <v>205353</v>
      </c>
    </row>
    <row r="3" spans="1:7" x14ac:dyDescent="0.35">
      <c r="A3" s="1" t="s">
        <v>16</v>
      </c>
      <c r="B3" s="1">
        <v>20256</v>
      </c>
      <c r="C3" s="1">
        <v>23767</v>
      </c>
      <c r="D3" s="1">
        <v>20812</v>
      </c>
      <c r="E3" s="1">
        <v>24544</v>
      </c>
      <c r="F3" s="1">
        <v>35066</v>
      </c>
      <c r="G3" s="1">
        <f t="shared" si="0"/>
        <v>124445</v>
      </c>
    </row>
    <row r="4" spans="1:7" x14ac:dyDescent="0.35">
      <c r="A4" s="1" t="s">
        <v>9</v>
      </c>
      <c r="B4" s="1">
        <v>13862</v>
      </c>
      <c r="C4" s="1">
        <v>17638</v>
      </c>
      <c r="D4" s="1">
        <v>22231</v>
      </c>
      <c r="E4" s="1">
        <v>29955</v>
      </c>
      <c r="F4" s="1">
        <v>38280</v>
      </c>
      <c r="G4" s="1">
        <f t="shared" si="0"/>
        <v>121966</v>
      </c>
    </row>
    <row r="5" spans="1:7" x14ac:dyDescent="0.35">
      <c r="A5" s="1" t="s">
        <v>11</v>
      </c>
      <c r="B5" s="1">
        <v>6077</v>
      </c>
      <c r="C5" s="1">
        <v>9295</v>
      </c>
      <c r="D5" s="1">
        <v>17329</v>
      </c>
      <c r="E5" s="1">
        <v>23610</v>
      </c>
      <c r="F5" s="1">
        <v>48138</v>
      </c>
      <c r="G5" s="1">
        <f t="shared" si="0"/>
        <v>104449</v>
      </c>
    </row>
    <row r="6" spans="1:7" x14ac:dyDescent="0.35">
      <c r="A6" s="1" t="s">
        <v>34</v>
      </c>
      <c r="B6" s="1">
        <v>8823</v>
      </c>
      <c r="C6" s="1">
        <v>13226</v>
      </c>
      <c r="D6" s="1">
        <v>18812</v>
      </c>
      <c r="E6" s="1">
        <v>22673</v>
      </c>
      <c r="F6" s="1">
        <v>33831</v>
      </c>
      <c r="G6" s="1">
        <f t="shared" si="0"/>
        <v>97365</v>
      </c>
    </row>
    <row r="7" spans="1:7" x14ac:dyDescent="0.35">
      <c r="A7" s="1" t="s">
        <v>31</v>
      </c>
      <c r="B7" s="1">
        <v>6860</v>
      </c>
      <c r="C7" s="1">
        <v>7772</v>
      </c>
      <c r="D7" s="1">
        <v>9684</v>
      </c>
      <c r="E7" s="1">
        <v>17192</v>
      </c>
      <c r="F7" s="1">
        <v>30536</v>
      </c>
      <c r="G7" s="1">
        <f t="shared" si="0"/>
        <v>72044</v>
      </c>
    </row>
    <row r="8" spans="1:7" x14ac:dyDescent="0.35">
      <c r="A8" s="1" t="s">
        <v>12</v>
      </c>
      <c r="B8" s="1">
        <v>9990</v>
      </c>
      <c r="C8" s="1">
        <v>10515</v>
      </c>
      <c r="D8" s="1">
        <v>10006</v>
      </c>
      <c r="E8" s="1">
        <v>13694</v>
      </c>
      <c r="F8" s="1">
        <v>26021</v>
      </c>
      <c r="G8" s="1">
        <f t="shared" si="0"/>
        <v>70226</v>
      </c>
    </row>
    <row r="9" spans="1:7" x14ac:dyDescent="0.35">
      <c r="A9" s="1" t="s">
        <v>32</v>
      </c>
      <c r="B9" s="1">
        <v>8622</v>
      </c>
      <c r="C9" s="1">
        <v>8576</v>
      </c>
      <c r="D9" s="1">
        <v>9581</v>
      </c>
      <c r="E9" s="1">
        <v>14249</v>
      </c>
      <c r="F9" s="1">
        <v>18378</v>
      </c>
      <c r="G9" s="1">
        <f t="shared" si="0"/>
        <v>59406</v>
      </c>
    </row>
    <row r="10" spans="1:7" x14ac:dyDescent="0.35">
      <c r="A10" s="1" t="s">
        <v>17</v>
      </c>
      <c r="B10" s="1">
        <v>4413</v>
      </c>
      <c r="C10" s="1">
        <v>5446</v>
      </c>
      <c r="D10" s="1">
        <v>7582</v>
      </c>
      <c r="E10" s="1">
        <v>10286</v>
      </c>
      <c r="F10" s="1">
        <v>11737</v>
      </c>
      <c r="G10" s="1">
        <f t="shared" si="0"/>
        <v>39464</v>
      </c>
    </row>
    <row r="11" spans="1:7" x14ac:dyDescent="0.35">
      <c r="A11" s="1" t="s">
        <v>29</v>
      </c>
      <c r="B11" s="1">
        <v>3819</v>
      </c>
      <c r="C11" s="1">
        <v>4439</v>
      </c>
      <c r="D11" s="1">
        <v>5579</v>
      </c>
      <c r="E11" s="1">
        <v>10590</v>
      </c>
      <c r="F11" s="1">
        <v>13724</v>
      </c>
      <c r="G11" s="1">
        <f t="shared" si="0"/>
        <v>38151</v>
      </c>
    </row>
    <row r="12" spans="1:7" x14ac:dyDescent="0.35">
      <c r="A12" s="1" t="s">
        <v>20</v>
      </c>
      <c r="B12" s="1">
        <v>3955</v>
      </c>
      <c r="C12" s="1">
        <v>3468</v>
      </c>
      <c r="D12" s="1">
        <v>6568</v>
      </c>
      <c r="E12" s="1">
        <v>11511</v>
      </c>
      <c r="F12" s="1">
        <v>12070</v>
      </c>
      <c r="G12" s="1">
        <f t="shared" si="0"/>
        <v>37572</v>
      </c>
    </row>
    <row r="13" spans="1:7" x14ac:dyDescent="0.35">
      <c r="A13" s="1" t="s">
        <v>36</v>
      </c>
      <c r="B13" s="1">
        <v>3396</v>
      </c>
      <c r="C13" s="1">
        <v>2604</v>
      </c>
      <c r="D13" s="1">
        <v>6632</v>
      </c>
      <c r="E13" s="1">
        <v>9353</v>
      </c>
      <c r="F13" s="1">
        <v>11468</v>
      </c>
      <c r="G13" s="1">
        <f t="shared" si="0"/>
        <v>33453</v>
      </c>
    </row>
    <row r="14" spans="1:7" x14ac:dyDescent="0.35">
      <c r="A14" s="1" t="s">
        <v>5</v>
      </c>
      <c r="B14" s="1">
        <v>1079</v>
      </c>
      <c r="C14" s="1">
        <v>2134</v>
      </c>
      <c r="D14" s="1">
        <v>3086</v>
      </c>
      <c r="E14" s="1">
        <v>4498</v>
      </c>
      <c r="F14" s="1">
        <v>9057</v>
      </c>
      <c r="G14" s="1">
        <f t="shared" si="0"/>
        <v>19854</v>
      </c>
    </row>
    <row r="15" spans="1:7" x14ac:dyDescent="0.35">
      <c r="A15" s="1" t="s">
        <v>26</v>
      </c>
      <c r="B15" s="1">
        <v>2248</v>
      </c>
      <c r="C15" s="1">
        <v>2220</v>
      </c>
      <c r="D15" s="1">
        <v>3742</v>
      </c>
      <c r="E15" s="1">
        <v>4526</v>
      </c>
      <c r="F15" s="1">
        <v>6532</v>
      </c>
      <c r="G15" s="1">
        <f t="shared" si="0"/>
        <v>19268</v>
      </c>
    </row>
    <row r="16" spans="1:7" x14ac:dyDescent="0.35">
      <c r="A16" s="1" t="s">
        <v>1</v>
      </c>
      <c r="B16" s="1">
        <v>1552</v>
      </c>
      <c r="C16" s="1">
        <v>2849</v>
      </c>
      <c r="D16" s="1">
        <v>2304</v>
      </c>
      <c r="E16" s="1">
        <v>3067</v>
      </c>
      <c r="F16" s="1">
        <v>5669</v>
      </c>
      <c r="G16" s="1">
        <f t="shared" si="0"/>
        <v>15441</v>
      </c>
    </row>
    <row r="17" spans="1:7" x14ac:dyDescent="0.35">
      <c r="A17" s="1" t="s">
        <v>28</v>
      </c>
      <c r="B17" s="1">
        <v>1230</v>
      </c>
      <c r="C17" s="1">
        <v>1673</v>
      </c>
      <c r="D17" s="1">
        <v>2429</v>
      </c>
      <c r="E17" s="1">
        <v>2318</v>
      </c>
      <c r="F17" s="1">
        <v>4935</v>
      </c>
      <c r="G17" s="1">
        <f t="shared" si="0"/>
        <v>12585</v>
      </c>
    </row>
    <row r="18" spans="1:7" x14ac:dyDescent="0.35">
      <c r="A18" s="1" t="s">
        <v>7</v>
      </c>
      <c r="B18" s="1">
        <v>1423</v>
      </c>
      <c r="C18" s="1">
        <v>1054</v>
      </c>
      <c r="D18" s="1">
        <v>1694</v>
      </c>
      <c r="E18" s="1">
        <v>2126</v>
      </c>
      <c r="F18" s="1">
        <v>3189</v>
      </c>
      <c r="G18" s="1">
        <f t="shared" si="0"/>
        <v>9486</v>
      </c>
    </row>
    <row r="19" spans="1:7" x14ac:dyDescent="0.35">
      <c r="A19" s="1" t="s">
        <v>4</v>
      </c>
      <c r="B19" s="1">
        <v>726</v>
      </c>
      <c r="C19" s="1">
        <v>874</v>
      </c>
      <c r="D19" s="1">
        <v>1403</v>
      </c>
      <c r="E19" s="1">
        <v>2553</v>
      </c>
      <c r="F19" s="1">
        <v>3350</v>
      </c>
      <c r="G19" s="1">
        <f t="shared" si="0"/>
        <v>8906</v>
      </c>
    </row>
    <row r="20" spans="1:7" x14ac:dyDescent="0.35">
      <c r="A20" s="1" t="s">
        <v>15</v>
      </c>
      <c r="B20" s="1">
        <v>624</v>
      </c>
      <c r="C20" s="1">
        <v>1353</v>
      </c>
      <c r="D20" s="1">
        <v>1362</v>
      </c>
      <c r="E20" s="1">
        <v>1827</v>
      </c>
      <c r="F20" s="1">
        <v>3525</v>
      </c>
      <c r="G20" s="1">
        <f t="shared" si="0"/>
        <v>8691</v>
      </c>
    </row>
    <row r="21" spans="1:7" x14ac:dyDescent="0.35">
      <c r="A21" s="1" t="s">
        <v>35</v>
      </c>
      <c r="B21" s="1">
        <v>701</v>
      </c>
      <c r="C21" s="1">
        <v>709</v>
      </c>
      <c r="D21" s="1">
        <v>1696</v>
      </c>
      <c r="E21" s="1">
        <v>1684</v>
      </c>
      <c r="F21" s="1">
        <v>2401</v>
      </c>
      <c r="G21" s="1">
        <f t="shared" si="0"/>
        <v>7191</v>
      </c>
    </row>
    <row r="22" spans="1:7" x14ac:dyDescent="0.35">
      <c r="A22" s="1" t="s">
        <v>14</v>
      </c>
      <c r="B22" s="1">
        <v>238</v>
      </c>
      <c r="C22" s="1">
        <v>447</v>
      </c>
      <c r="D22" s="1">
        <v>776</v>
      </c>
      <c r="E22" s="1">
        <v>1297</v>
      </c>
      <c r="F22" s="1">
        <v>2452</v>
      </c>
      <c r="G22" s="1">
        <f t="shared" si="0"/>
        <v>5210</v>
      </c>
    </row>
    <row r="23" spans="1:7" x14ac:dyDescent="0.35">
      <c r="A23" s="1" t="s">
        <v>6</v>
      </c>
      <c r="B23" s="1">
        <v>312</v>
      </c>
      <c r="C23" s="1">
        <v>355</v>
      </c>
      <c r="D23" s="1">
        <v>978</v>
      </c>
      <c r="E23" s="1">
        <v>898</v>
      </c>
      <c r="F23" s="1">
        <v>1328</v>
      </c>
      <c r="G23" s="1">
        <f t="shared" si="0"/>
        <v>3871</v>
      </c>
    </row>
    <row r="24" spans="1:7" x14ac:dyDescent="0.35">
      <c r="A24" s="1" t="s">
        <v>13</v>
      </c>
      <c r="B24" s="1">
        <v>195</v>
      </c>
      <c r="C24" s="1">
        <v>281</v>
      </c>
      <c r="D24" s="1">
        <v>344</v>
      </c>
      <c r="E24" s="1">
        <v>972</v>
      </c>
      <c r="F24" s="1">
        <v>1079</v>
      </c>
      <c r="G24" s="1">
        <f t="shared" si="0"/>
        <v>2871</v>
      </c>
    </row>
    <row r="25" spans="1:7" x14ac:dyDescent="0.35">
      <c r="A25" s="1" t="s">
        <v>10</v>
      </c>
      <c r="B25" s="1">
        <v>349</v>
      </c>
      <c r="C25" s="1">
        <v>340</v>
      </c>
      <c r="D25" s="1">
        <v>494</v>
      </c>
      <c r="E25" s="1">
        <v>830</v>
      </c>
      <c r="F25" s="1">
        <v>824</v>
      </c>
      <c r="G25" s="1">
        <f t="shared" si="0"/>
        <v>2837</v>
      </c>
    </row>
    <row r="26" spans="1:7" x14ac:dyDescent="0.35">
      <c r="A26" s="1" t="s">
        <v>33</v>
      </c>
      <c r="B26" s="1">
        <v>46</v>
      </c>
      <c r="C26" s="1">
        <v>735</v>
      </c>
      <c r="D26" s="1">
        <v>95</v>
      </c>
      <c r="E26" s="1">
        <v>188</v>
      </c>
      <c r="F26" s="1">
        <v>193</v>
      </c>
      <c r="G26" s="1">
        <f t="shared" si="0"/>
        <v>1257</v>
      </c>
    </row>
    <row r="27" spans="1:7" x14ac:dyDescent="0.35">
      <c r="A27" s="1" t="s">
        <v>27</v>
      </c>
      <c r="B27" s="1">
        <v>130</v>
      </c>
      <c r="C27" s="1">
        <v>68</v>
      </c>
      <c r="D27" s="1">
        <v>198</v>
      </c>
      <c r="E27" s="1">
        <v>233</v>
      </c>
      <c r="F27" s="1">
        <v>568</v>
      </c>
      <c r="G27" s="1">
        <f t="shared" si="0"/>
        <v>1197</v>
      </c>
    </row>
    <row r="28" spans="1:7" x14ac:dyDescent="0.35">
      <c r="A28" s="1" t="s">
        <v>22</v>
      </c>
      <c r="B28" s="1">
        <v>22</v>
      </c>
      <c r="C28" s="1">
        <v>116</v>
      </c>
      <c r="D28" s="1">
        <v>382</v>
      </c>
      <c r="E28" s="1">
        <v>309</v>
      </c>
      <c r="F28" s="1">
        <v>195</v>
      </c>
      <c r="G28" s="1">
        <f t="shared" si="0"/>
        <v>1024</v>
      </c>
    </row>
    <row r="29" spans="1:7" x14ac:dyDescent="0.35">
      <c r="A29" s="1" t="s">
        <v>8</v>
      </c>
      <c r="B29" s="1">
        <v>29</v>
      </c>
      <c r="C29" s="1">
        <v>31</v>
      </c>
      <c r="D29" s="1">
        <v>136</v>
      </c>
      <c r="E29" s="1">
        <v>147</v>
      </c>
      <c r="F29" s="1">
        <v>138</v>
      </c>
      <c r="G29" s="1">
        <f t="shared" si="0"/>
        <v>481</v>
      </c>
    </row>
    <row r="30" spans="1:7" x14ac:dyDescent="0.35">
      <c r="A30" s="1" t="s">
        <v>25</v>
      </c>
      <c r="B30" s="1">
        <v>10</v>
      </c>
      <c r="C30" s="1">
        <v>32</v>
      </c>
      <c r="D30" s="1">
        <v>81</v>
      </c>
      <c r="E30" s="1">
        <v>71</v>
      </c>
      <c r="F30" s="1">
        <v>268</v>
      </c>
      <c r="G30" s="1">
        <f t="shared" si="0"/>
        <v>462</v>
      </c>
    </row>
    <row r="31" spans="1:7" x14ac:dyDescent="0.35">
      <c r="A31" s="1" t="s">
        <v>0</v>
      </c>
      <c r="B31" s="1">
        <v>60</v>
      </c>
      <c r="C31" s="1">
        <v>32</v>
      </c>
      <c r="D31" s="1">
        <v>72</v>
      </c>
      <c r="E31" s="1">
        <v>71</v>
      </c>
      <c r="F31" s="1">
        <v>97</v>
      </c>
      <c r="G31" s="1">
        <f t="shared" si="0"/>
        <v>332</v>
      </c>
    </row>
    <row r="32" spans="1:7" x14ac:dyDescent="0.35">
      <c r="A32" s="1" t="s">
        <v>23</v>
      </c>
      <c r="B32" s="1">
        <v>27</v>
      </c>
      <c r="C32" s="1" t="s">
        <v>3</v>
      </c>
      <c r="D32" s="1">
        <v>48</v>
      </c>
      <c r="E32" s="1">
        <v>61</v>
      </c>
      <c r="F32" s="1">
        <v>157</v>
      </c>
      <c r="G32" s="1">
        <f t="shared" si="0"/>
        <v>293</v>
      </c>
    </row>
    <row r="33" spans="1:7" x14ac:dyDescent="0.35">
      <c r="A33" s="1" t="s">
        <v>2</v>
      </c>
      <c r="B33" s="1">
        <v>12</v>
      </c>
      <c r="C33" s="1" t="s">
        <v>3</v>
      </c>
      <c r="D33" s="1">
        <v>31</v>
      </c>
      <c r="E33" s="1">
        <v>55</v>
      </c>
      <c r="F33" s="1">
        <v>185</v>
      </c>
      <c r="G33" s="1">
        <f t="shared" si="0"/>
        <v>283</v>
      </c>
    </row>
    <row r="34" spans="1:7" x14ac:dyDescent="0.35">
      <c r="A34" s="1" t="s">
        <v>24</v>
      </c>
      <c r="B34" s="1" t="s">
        <v>3</v>
      </c>
      <c r="C34" s="1">
        <v>2</v>
      </c>
      <c r="D34" s="1">
        <v>15</v>
      </c>
      <c r="E34" s="1">
        <v>106</v>
      </c>
      <c r="F34" s="1">
        <v>79</v>
      </c>
      <c r="G34" s="1">
        <f t="shared" si="0"/>
        <v>202</v>
      </c>
    </row>
    <row r="35" spans="1:7" x14ac:dyDescent="0.35">
      <c r="A35" s="1" t="s">
        <v>30</v>
      </c>
      <c r="B35" s="1">
        <v>6</v>
      </c>
      <c r="C35" s="1">
        <v>2</v>
      </c>
      <c r="D35" s="1">
        <v>29</v>
      </c>
      <c r="E35" s="1">
        <v>22</v>
      </c>
      <c r="F35" s="1">
        <v>8</v>
      </c>
      <c r="G35" s="1">
        <f t="shared" si="0"/>
        <v>67</v>
      </c>
    </row>
    <row r="36" spans="1:7" x14ac:dyDescent="0.35">
      <c r="A36" s="1" t="s">
        <v>18</v>
      </c>
      <c r="B36" s="1" t="s">
        <v>3</v>
      </c>
      <c r="C36" s="1">
        <v>3</v>
      </c>
      <c r="D36" s="1" t="s">
        <v>3</v>
      </c>
      <c r="E36" s="1">
        <v>32</v>
      </c>
      <c r="F36" s="1">
        <v>29</v>
      </c>
      <c r="G36" s="1">
        <f t="shared" si="0"/>
        <v>64</v>
      </c>
    </row>
    <row r="37" spans="1:7" x14ac:dyDescent="0.35">
      <c r="A37" s="1" t="s">
        <v>19</v>
      </c>
      <c r="B37" s="1" t="s">
        <v>3</v>
      </c>
      <c r="C37" s="1">
        <v>7</v>
      </c>
      <c r="D37" s="1" t="s">
        <v>3</v>
      </c>
      <c r="E37" s="1" t="s">
        <v>3</v>
      </c>
      <c r="F37" s="1">
        <v>31</v>
      </c>
      <c r="G37" s="1">
        <f t="shared" si="0"/>
        <v>38</v>
      </c>
    </row>
    <row r="38" spans="1:7" x14ac:dyDescent="0.35">
      <c r="A38" s="1"/>
      <c r="B38" s="1"/>
      <c r="C38" s="1"/>
      <c r="D38" s="1"/>
      <c r="E38" s="1"/>
      <c r="F38" s="1"/>
      <c r="G38" s="1">
        <f>SUM(jobs_startups[SUM of Jobs])</f>
        <v>1125805</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5711-36C1-42F1-B1AA-DB35B999AC38}">
  <dimension ref="A3:F8"/>
  <sheetViews>
    <sheetView topLeftCell="A7" workbookViewId="0">
      <selection activeCell="J17" sqref="J17"/>
    </sheetView>
  </sheetViews>
  <sheetFormatPr defaultRowHeight="14.5" x14ac:dyDescent="0.35"/>
  <cols>
    <col min="1" max="1" width="12.36328125" bestFit="1" customWidth="1"/>
    <col min="2" max="6" width="11.08984375" bestFit="1" customWidth="1"/>
  </cols>
  <sheetData>
    <row r="3" spans="1:6" x14ac:dyDescent="0.35">
      <c r="A3" s="3" t="s">
        <v>102</v>
      </c>
      <c r="B3" t="s">
        <v>112</v>
      </c>
      <c r="C3" t="s">
        <v>109</v>
      </c>
      <c r="D3" t="s">
        <v>110</v>
      </c>
      <c r="E3" t="s">
        <v>111</v>
      </c>
      <c r="F3" t="s">
        <v>108</v>
      </c>
    </row>
    <row r="4" spans="1:6" x14ac:dyDescent="0.35">
      <c r="A4" s="4" t="s">
        <v>21</v>
      </c>
      <c r="B4" s="5">
        <v>1987</v>
      </c>
      <c r="C4" s="5">
        <v>2531</v>
      </c>
      <c r="D4" s="5">
        <v>3552</v>
      </c>
      <c r="E4" s="5">
        <v>4763</v>
      </c>
      <c r="F4" s="5">
        <v>5801</v>
      </c>
    </row>
    <row r="5" spans="1:6" x14ac:dyDescent="0.35">
      <c r="A5" s="4" t="s">
        <v>34</v>
      </c>
      <c r="B5" s="5">
        <v>807</v>
      </c>
      <c r="C5" s="5">
        <v>1290</v>
      </c>
      <c r="D5" s="5">
        <v>1876</v>
      </c>
      <c r="E5" s="5">
        <v>2554</v>
      </c>
      <c r="F5" s="5">
        <v>3426</v>
      </c>
    </row>
    <row r="6" spans="1:6" x14ac:dyDescent="0.35">
      <c r="A6" s="4" t="s">
        <v>9</v>
      </c>
      <c r="B6" s="5">
        <v>1302</v>
      </c>
      <c r="C6" s="5">
        <v>1711</v>
      </c>
      <c r="D6" s="5">
        <v>2129</v>
      </c>
      <c r="E6" s="5">
        <v>2548</v>
      </c>
      <c r="F6" s="5">
        <v>3150</v>
      </c>
    </row>
    <row r="7" spans="1:6" x14ac:dyDescent="0.35">
      <c r="A7" s="4" t="s">
        <v>16</v>
      </c>
      <c r="B7" s="5">
        <v>1566</v>
      </c>
      <c r="C7" s="5">
        <v>1648</v>
      </c>
      <c r="D7" s="5">
        <v>2082</v>
      </c>
      <c r="E7" s="5">
        <v>2546</v>
      </c>
      <c r="F7" s="5">
        <v>3032</v>
      </c>
    </row>
    <row r="8" spans="1:6" x14ac:dyDescent="0.35">
      <c r="A8" s="4" t="s">
        <v>12</v>
      </c>
      <c r="B8" s="5">
        <v>658</v>
      </c>
      <c r="C8" s="5">
        <v>787</v>
      </c>
      <c r="D8" s="5">
        <v>1036</v>
      </c>
      <c r="E8" s="5">
        <v>1327</v>
      </c>
      <c r="F8" s="5">
        <v>1740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3E5C-F62F-4653-8FD0-9A825C1C5B9E}">
  <dimension ref="A1:H40"/>
  <sheetViews>
    <sheetView zoomScale="101" workbookViewId="0">
      <pane ySplit="1" topLeftCell="A2" activePane="bottomLeft" state="frozen"/>
      <selection pane="bottomLeft" sqref="A1:H37"/>
    </sheetView>
  </sheetViews>
  <sheetFormatPr defaultRowHeight="14.5" x14ac:dyDescent="0.35"/>
  <cols>
    <col min="1" max="1" width="38.08984375" bestFit="1" customWidth="1"/>
    <col min="2" max="6" width="10.26953125" customWidth="1"/>
    <col min="7" max="7" width="17.1796875" bestFit="1" customWidth="1"/>
    <col min="8" max="8" width="19.6328125" bestFit="1" customWidth="1"/>
  </cols>
  <sheetData>
    <row r="1" spans="1:8" x14ac:dyDescent="0.35">
      <c r="A1" s="2" t="s">
        <v>37</v>
      </c>
      <c r="B1" s="2" t="s">
        <v>38</v>
      </c>
      <c r="C1" s="2" t="s">
        <v>39</v>
      </c>
      <c r="D1" s="2" t="s">
        <v>40</v>
      </c>
      <c r="E1" s="2" t="s">
        <v>41</v>
      </c>
      <c r="F1" s="2" t="s">
        <v>42</v>
      </c>
      <c r="G1" s="2" t="s">
        <v>104</v>
      </c>
      <c r="H1" s="2" t="s">
        <v>105</v>
      </c>
    </row>
    <row r="2" spans="1:8" x14ac:dyDescent="0.35">
      <c r="A2" s="1" t="s">
        <v>21</v>
      </c>
      <c r="B2" s="1">
        <v>1987</v>
      </c>
      <c r="C2" s="1">
        <v>2531</v>
      </c>
      <c r="D2" s="1">
        <v>3552</v>
      </c>
      <c r="E2" s="1">
        <v>4763</v>
      </c>
      <c r="F2" s="1">
        <v>5801</v>
      </c>
      <c r="G2" s="1">
        <f t="shared" ref="G2:G37" si="0">SUM(B2:F2)</f>
        <v>18634</v>
      </c>
      <c r="H2" s="1">
        <f t="shared" ref="H2:H37" si="1">AVERAGE(B2:F2)</f>
        <v>3726.8</v>
      </c>
    </row>
    <row r="3" spans="1:8" x14ac:dyDescent="0.35">
      <c r="A3" s="1" t="s">
        <v>16</v>
      </c>
      <c r="B3" s="1">
        <v>1566</v>
      </c>
      <c r="C3" s="1">
        <v>1648</v>
      </c>
      <c r="D3" s="1">
        <v>2082</v>
      </c>
      <c r="E3" s="1">
        <v>2546</v>
      </c>
      <c r="F3" s="1">
        <v>3032</v>
      </c>
      <c r="G3" s="1">
        <f t="shared" si="0"/>
        <v>10874</v>
      </c>
      <c r="H3" s="1">
        <f t="shared" si="1"/>
        <v>2174.8000000000002</v>
      </c>
    </row>
    <row r="4" spans="1:8" x14ac:dyDescent="0.35">
      <c r="A4" s="1" t="s">
        <v>9</v>
      </c>
      <c r="B4" s="1">
        <v>1302</v>
      </c>
      <c r="C4" s="1">
        <v>1711</v>
      </c>
      <c r="D4" s="1">
        <v>2129</v>
      </c>
      <c r="E4" s="1">
        <v>2548</v>
      </c>
      <c r="F4" s="1">
        <v>3150</v>
      </c>
      <c r="G4" s="1">
        <f t="shared" si="0"/>
        <v>10840</v>
      </c>
      <c r="H4" s="1">
        <f t="shared" si="1"/>
        <v>2168</v>
      </c>
    </row>
    <row r="5" spans="1:8" x14ac:dyDescent="0.35">
      <c r="A5" s="1" t="s">
        <v>34</v>
      </c>
      <c r="B5" s="1">
        <v>807</v>
      </c>
      <c r="C5" s="1">
        <v>1290</v>
      </c>
      <c r="D5" s="1">
        <v>1876</v>
      </c>
      <c r="E5" s="1">
        <v>2554</v>
      </c>
      <c r="F5" s="1">
        <v>3426</v>
      </c>
      <c r="G5" s="1">
        <f t="shared" si="0"/>
        <v>9953</v>
      </c>
      <c r="H5" s="1">
        <f t="shared" si="1"/>
        <v>1990.6</v>
      </c>
    </row>
    <row r="6" spans="1:8" x14ac:dyDescent="0.35">
      <c r="A6" s="1" t="s">
        <v>11</v>
      </c>
      <c r="B6" s="1">
        <v>565</v>
      </c>
      <c r="C6" s="1">
        <v>846</v>
      </c>
      <c r="D6" s="1">
        <v>1655</v>
      </c>
      <c r="E6" s="1">
        <v>2262</v>
      </c>
      <c r="F6" s="1">
        <v>3291</v>
      </c>
      <c r="G6" s="1">
        <f t="shared" si="0"/>
        <v>8619</v>
      </c>
      <c r="H6" s="1">
        <f t="shared" si="1"/>
        <v>1723.8</v>
      </c>
    </row>
    <row r="7" spans="1:8" x14ac:dyDescent="0.35">
      <c r="A7" s="1" t="s">
        <v>31</v>
      </c>
      <c r="B7" s="1">
        <v>556</v>
      </c>
      <c r="C7" s="1">
        <v>715</v>
      </c>
      <c r="D7" s="1">
        <v>1067</v>
      </c>
      <c r="E7" s="1">
        <v>1791</v>
      </c>
      <c r="F7" s="1">
        <v>2810</v>
      </c>
      <c r="G7" s="1">
        <f t="shared" si="0"/>
        <v>6939</v>
      </c>
      <c r="H7" s="1">
        <f t="shared" si="1"/>
        <v>1387.8</v>
      </c>
    </row>
    <row r="8" spans="1:8" x14ac:dyDescent="0.35">
      <c r="A8" s="1" t="s">
        <v>12</v>
      </c>
      <c r="B8" s="1">
        <v>658</v>
      </c>
      <c r="C8" s="1">
        <v>787</v>
      </c>
      <c r="D8" s="1">
        <v>1036</v>
      </c>
      <c r="E8" s="1">
        <v>1327</v>
      </c>
      <c r="F8" s="1">
        <v>1740</v>
      </c>
      <c r="G8" s="1">
        <f t="shared" si="0"/>
        <v>5548</v>
      </c>
      <c r="H8" s="1">
        <f t="shared" si="1"/>
        <v>1109.5999999999999</v>
      </c>
    </row>
    <row r="9" spans="1:8" x14ac:dyDescent="0.35">
      <c r="A9" s="1" t="s">
        <v>32</v>
      </c>
      <c r="B9" s="1">
        <v>559</v>
      </c>
      <c r="C9" s="1">
        <v>754</v>
      </c>
      <c r="D9" s="1">
        <v>928</v>
      </c>
      <c r="E9" s="1">
        <v>1370</v>
      </c>
      <c r="F9" s="1">
        <v>1757</v>
      </c>
      <c r="G9" s="1">
        <f t="shared" si="0"/>
        <v>5368</v>
      </c>
      <c r="H9" s="1">
        <f t="shared" si="1"/>
        <v>1073.5999999999999</v>
      </c>
    </row>
    <row r="10" spans="1:8" x14ac:dyDescent="0.35">
      <c r="A10" s="1" t="s">
        <v>17</v>
      </c>
      <c r="B10" s="1">
        <v>597</v>
      </c>
      <c r="C10" s="1">
        <v>671</v>
      </c>
      <c r="D10" s="1">
        <v>901</v>
      </c>
      <c r="E10" s="1">
        <v>1070</v>
      </c>
      <c r="F10" s="1">
        <v>1294</v>
      </c>
      <c r="G10" s="1">
        <f t="shared" si="0"/>
        <v>4533</v>
      </c>
      <c r="H10" s="1">
        <f t="shared" si="1"/>
        <v>906.6</v>
      </c>
    </row>
    <row r="11" spans="1:8" x14ac:dyDescent="0.35">
      <c r="A11" s="1" t="s">
        <v>29</v>
      </c>
      <c r="B11" s="1">
        <v>321</v>
      </c>
      <c r="C11" s="1">
        <v>459</v>
      </c>
      <c r="D11" s="1">
        <v>591</v>
      </c>
      <c r="E11" s="1">
        <v>986</v>
      </c>
      <c r="F11" s="1">
        <v>1443</v>
      </c>
      <c r="G11" s="1">
        <f t="shared" si="0"/>
        <v>3800</v>
      </c>
      <c r="H11" s="1">
        <f t="shared" si="1"/>
        <v>760</v>
      </c>
    </row>
    <row r="12" spans="1:8" x14ac:dyDescent="0.35">
      <c r="A12" s="1" t="s">
        <v>36</v>
      </c>
      <c r="B12" s="1">
        <v>276</v>
      </c>
      <c r="C12" s="1">
        <v>362</v>
      </c>
      <c r="D12" s="1">
        <v>648</v>
      </c>
      <c r="E12" s="1">
        <v>991</v>
      </c>
      <c r="F12" s="1">
        <v>1170</v>
      </c>
      <c r="G12" s="1">
        <f t="shared" si="0"/>
        <v>3447</v>
      </c>
      <c r="H12" s="1">
        <f t="shared" si="1"/>
        <v>689.4</v>
      </c>
    </row>
    <row r="13" spans="1:8" x14ac:dyDescent="0.35">
      <c r="A13" s="1" t="s">
        <v>20</v>
      </c>
      <c r="B13" s="1">
        <v>302</v>
      </c>
      <c r="C13" s="1">
        <v>401</v>
      </c>
      <c r="D13" s="1">
        <v>540</v>
      </c>
      <c r="E13" s="1">
        <v>891</v>
      </c>
      <c r="F13" s="1">
        <v>1264</v>
      </c>
      <c r="G13" s="1">
        <f t="shared" si="0"/>
        <v>3398</v>
      </c>
      <c r="H13" s="1">
        <f t="shared" si="1"/>
        <v>679.6</v>
      </c>
    </row>
    <row r="14" spans="1:8" x14ac:dyDescent="0.35">
      <c r="A14" s="1" t="s">
        <v>5</v>
      </c>
      <c r="B14" s="1">
        <v>137</v>
      </c>
      <c r="C14" s="1">
        <v>236</v>
      </c>
      <c r="D14" s="1">
        <v>374</v>
      </c>
      <c r="E14" s="1">
        <v>517</v>
      </c>
      <c r="F14" s="1">
        <v>811</v>
      </c>
      <c r="G14" s="1">
        <f t="shared" si="0"/>
        <v>2075</v>
      </c>
      <c r="H14" s="1">
        <f t="shared" si="1"/>
        <v>415</v>
      </c>
    </row>
    <row r="15" spans="1:8" x14ac:dyDescent="0.35">
      <c r="A15" s="1" t="s">
        <v>26</v>
      </c>
      <c r="B15" s="1">
        <v>170</v>
      </c>
      <c r="C15" s="1">
        <v>257</v>
      </c>
      <c r="D15" s="1">
        <v>367</v>
      </c>
      <c r="E15" s="1">
        <v>442</v>
      </c>
      <c r="F15" s="1">
        <v>620</v>
      </c>
      <c r="G15" s="1">
        <f t="shared" si="0"/>
        <v>1856</v>
      </c>
      <c r="H15" s="1">
        <f t="shared" si="1"/>
        <v>371.2</v>
      </c>
    </row>
    <row r="16" spans="1:8" x14ac:dyDescent="0.35">
      <c r="A16" s="1" t="s">
        <v>1</v>
      </c>
      <c r="B16" s="1">
        <v>161</v>
      </c>
      <c r="C16" s="1">
        <v>215</v>
      </c>
      <c r="D16" s="1">
        <v>286</v>
      </c>
      <c r="E16" s="1">
        <v>382</v>
      </c>
      <c r="F16" s="1">
        <v>586</v>
      </c>
      <c r="G16" s="1">
        <f t="shared" si="0"/>
        <v>1630</v>
      </c>
      <c r="H16" s="1">
        <f t="shared" si="1"/>
        <v>326</v>
      </c>
    </row>
    <row r="17" spans="1:8" x14ac:dyDescent="0.35">
      <c r="A17" s="1" t="s">
        <v>28</v>
      </c>
      <c r="B17" s="1">
        <v>86</v>
      </c>
      <c r="C17" s="1">
        <v>134</v>
      </c>
      <c r="D17" s="1">
        <v>239</v>
      </c>
      <c r="E17" s="1">
        <v>294</v>
      </c>
      <c r="F17" s="1">
        <v>443</v>
      </c>
      <c r="G17" s="1">
        <f t="shared" si="0"/>
        <v>1196</v>
      </c>
      <c r="H17" s="1">
        <f t="shared" si="1"/>
        <v>239.2</v>
      </c>
    </row>
    <row r="18" spans="1:8" x14ac:dyDescent="0.35">
      <c r="A18" s="1" t="s">
        <v>7</v>
      </c>
      <c r="B18" s="1">
        <v>152</v>
      </c>
      <c r="C18" s="1">
        <v>143</v>
      </c>
      <c r="D18" s="1">
        <v>159</v>
      </c>
      <c r="E18" s="1">
        <v>233</v>
      </c>
      <c r="F18" s="1">
        <v>360</v>
      </c>
      <c r="G18" s="1">
        <f t="shared" si="0"/>
        <v>1047</v>
      </c>
      <c r="H18" s="1">
        <f t="shared" si="1"/>
        <v>209.4</v>
      </c>
    </row>
    <row r="19" spans="1:8" x14ac:dyDescent="0.35">
      <c r="A19" s="1" t="s">
        <v>4</v>
      </c>
      <c r="B19" s="1">
        <v>62</v>
      </c>
      <c r="C19" s="1">
        <v>108</v>
      </c>
      <c r="D19" s="1">
        <v>181</v>
      </c>
      <c r="E19" s="1">
        <v>282</v>
      </c>
      <c r="F19" s="1">
        <v>362</v>
      </c>
      <c r="G19" s="1">
        <f t="shared" si="0"/>
        <v>995</v>
      </c>
      <c r="H19" s="1">
        <f t="shared" si="1"/>
        <v>199</v>
      </c>
    </row>
    <row r="20" spans="1:8" x14ac:dyDescent="0.35">
      <c r="A20" s="1" t="s">
        <v>15</v>
      </c>
      <c r="B20" s="1">
        <v>79</v>
      </c>
      <c r="C20" s="1">
        <v>153</v>
      </c>
      <c r="D20" s="1">
        <v>180</v>
      </c>
      <c r="E20" s="1">
        <v>232</v>
      </c>
      <c r="F20" s="1">
        <v>337</v>
      </c>
      <c r="G20" s="1">
        <f t="shared" si="0"/>
        <v>981</v>
      </c>
      <c r="H20" s="1">
        <f t="shared" si="1"/>
        <v>196.2</v>
      </c>
    </row>
    <row r="21" spans="1:8" x14ac:dyDescent="0.35">
      <c r="A21" s="1" t="s">
        <v>35</v>
      </c>
      <c r="B21" s="1">
        <v>87</v>
      </c>
      <c r="C21" s="1">
        <v>109</v>
      </c>
      <c r="D21" s="1">
        <v>155</v>
      </c>
      <c r="E21" s="1">
        <v>236</v>
      </c>
      <c r="F21" s="1">
        <v>271</v>
      </c>
      <c r="G21" s="1">
        <f t="shared" si="0"/>
        <v>858</v>
      </c>
      <c r="H21" s="1">
        <f t="shared" si="1"/>
        <v>171.6</v>
      </c>
    </row>
    <row r="22" spans="1:8" x14ac:dyDescent="0.35">
      <c r="A22" s="1" t="s">
        <v>14</v>
      </c>
      <c r="B22" s="1">
        <v>30</v>
      </c>
      <c r="C22" s="1">
        <v>57</v>
      </c>
      <c r="D22" s="1">
        <v>123</v>
      </c>
      <c r="E22" s="1">
        <v>167</v>
      </c>
      <c r="F22" s="1">
        <v>247</v>
      </c>
      <c r="G22" s="1">
        <f t="shared" si="0"/>
        <v>624</v>
      </c>
      <c r="H22" s="1">
        <f t="shared" si="1"/>
        <v>124.8</v>
      </c>
    </row>
    <row r="23" spans="1:8" x14ac:dyDescent="0.35">
      <c r="A23" s="1" t="s">
        <v>13</v>
      </c>
      <c r="B23" s="1">
        <v>27</v>
      </c>
      <c r="C23" s="1">
        <v>40</v>
      </c>
      <c r="D23" s="1">
        <v>55</v>
      </c>
      <c r="E23" s="1">
        <v>117</v>
      </c>
      <c r="F23" s="1">
        <v>144</v>
      </c>
      <c r="G23" s="1">
        <f t="shared" si="0"/>
        <v>383</v>
      </c>
      <c r="H23" s="1">
        <f t="shared" si="1"/>
        <v>76.599999999999994</v>
      </c>
    </row>
    <row r="24" spans="1:8" x14ac:dyDescent="0.35">
      <c r="A24" s="1" t="s">
        <v>10</v>
      </c>
      <c r="B24" s="1">
        <v>39</v>
      </c>
      <c r="C24" s="1">
        <v>60</v>
      </c>
      <c r="D24" s="1">
        <v>78</v>
      </c>
      <c r="E24" s="1">
        <v>104</v>
      </c>
      <c r="F24" s="1">
        <v>98</v>
      </c>
      <c r="G24" s="1">
        <f t="shared" si="0"/>
        <v>379</v>
      </c>
      <c r="H24" s="1">
        <f t="shared" si="1"/>
        <v>75.8</v>
      </c>
    </row>
    <row r="25" spans="1:8" x14ac:dyDescent="0.35">
      <c r="A25" s="1" t="s">
        <v>6</v>
      </c>
      <c r="B25" s="1">
        <v>37</v>
      </c>
      <c r="C25" s="1">
        <v>52</v>
      </c>
      <c r="D25" s="1">
        <v>63</v>
      </c>
      <c r="E25" s="1">
        <v>81</v>
      </c>
      <c r="F25" s="1">
        <v>126</v>
      </c>
      <c r="G25" s="1">
        <f t="shared" si="0"/>
        <v>359</v>
      </c>
      <c r="H25" s="1">
        <f t="shared" si="1"/>
        <v>71.8</v>
      </c>
    </row>
    <row r="26" spans="1:8" x14ac:dyDescent="0.35">
      <c r="A26" s="1" t="s">
        <v>27</v>
      </c>
      <c r="B26" s="1">
        <v>10</v>
      </c>
      <c r="C26" s="1">
        <v>13</v>
      </c>
      <c r="D26" s="1">
        <v>16</v>
      </c>
      <c r="E26" s="1">
        <v>29</v>
      </c>
      <c r="F26" s="1">
        <v>43</v>
      </c>
      <c r="G26" s="1">
        <f t="shared" si="0"/>
        <v>111</v>
      </c>
      <c r="H26" s="1">
        <f t="shared" si="1"/>
        <v>22.2</v>
      </c>
    </row>
    <row r="27" spans="1:8" x14ac:dyDescent="0.35">
      <c r="A27" s="1" t="s">
        <v>22</v>
      </c>
      <c r="B27" s="1">
        <v>3</v>
      </c>
      <c r="C27" s="1">
        <v>10</v>
      </c>
      <c r="D27" s="1">
        <v>33</v>
      </c>
      <c r="E27" s="1">
        <v>31</v>
      </c>
      <c r="F27" s="1">
        <v>26</v>
      </c>
      <c r="G27" s="1">
        <f t="shared" si="0"/>
        <v>103</v>
      </c>
      <c r="H27" s="1">
        <f t="shared" si="1"/>
        <v>20.6</v>
      </c>
    </row>
    <row r="28" spans="1:8" x14ac:dyDescent="0.35">
      <c r="A28" s="1" t="s">
        <v>33</v>
      </c>
      <c r="B28" s="1">
        <v>7</v>
      </c>
      <c r="C28" s="1">
        <v>17</v>
      </c>
      <c r="D28" s="1">
        <v>11</v>
      </c>
      <c r="E28" s="1">
        <v>25</v>
      </c>
      <c r="F28" s="1">
        <v>23</v>
      </c>
      <c r="G28" s="1">
        <f t="shared" si="0"/>
        <v>83</v>
      </c>
      <c r="H28" s="1">
        <f t="shared" si="1"/>
        <v>16.600000000000001</v>
      </c>
    </row>
    <row r="29" spans="1:8" x14ac:dyDescent="0.35">
      <c r="A29" s="1" t="s">
        <v>0</v>
      </c>
      <c r="B29" s="1">
        <v>7</v>
      </c>
      <c r="C29" s="1">
        <v>5</v>
      </c>
      <c r="D29" s="1">
        <v>13</v>
      </c>
      <c r="E29" s="1">
        <v>9</v>
      </c>
      <c r="F29" s="1">
        <v>15</v>
      </c>
      <c r="G29" s="1">
        <f t="shared" si="0"/>
        <v>49</v>
      </c>
      <c r="H29" s="1">
        <f t="shared" si="1"/>
        <v>9.8000000000000007</v>
      </c>
    </row>
    <row r="30" spans="1:8" x14ac:dyDescent="0.35">
      <c r="A30" s="1" t="s">
        <v>8</v>
      </c>
      <c r="B30" s="1">
        <v>3</v>
      </c>
      <c r="C30" s="1">
        <v>5</v>
      </c>
      <c r="D30" s="1">
        <v>12</v>
      </c>
      <c r="E30" s="1">
        <v>12</v>
      </c>
      <c r="F30" s="1">
        <v>11</v>
      </c>
      <c r="G30" s="1">
        <f t="shared" si="0"/>
        <v>43</v>
      </c>
      <c r="H30" s="1">
        <f t="shared" si="1"/>
        <v>8.6</v>
      </c>
    </row>
    <row r="31" spans="1:8" x14ac:dyDescent="0.35">
      <c r="A31" s="1" t="s">
        <v>25</v>
      </c>
      <c r="B31" s="1">
        <v>2</v>
      </c>
      <c r="C31" s="1">
        <v>5</v>
      </c>
      <c r="D31" s="1">
        <v>6</v>
      </c>
      <c r="E31" s="1">
        <v>7</v>
      </c>
      <c r="F31" s="1">
        <v>22</v>
      </c>
      <c r="G31" s="1">
        <f t="shared" si="0"/>
        <v>42</v>
      </c>
      <c r="H31" s="1">
        <f t="shared" si="1"/>
        <v>8.4</v>
      </c>
    </row>
    <row r="32" spans="1:8" x14ac:dyDescent="0.35">
      <c r="A32" s="1" t="s">
        <v>23</v>
      </c>
      <c r="B32" s="1">
        <v>5</v>
      </c>
      <c r="C32" s="1" t="s">
        <v>3</v>
      </c>
      <c r="D32" s="1">
        <v>6</v>
      </c>
      <c r="E32" s="1">
        <v>10</v>
      </c>
      <c r="F32" s="1">
        <v>18</v>
      </c>
      <c r="G32" s="1">
        <f t="shared" si="0"/>
        <v>39</v>
      </c>
      <c r="H32" s="1">
        <f t="shared" si="1"/>
        <v>9.75</v>
      </c>
    </row>
    <row r="33" spans="1:8" x14ac:dyDescent="0.35">
      <c r="A33" s="1" t="s">
        <v>2</v>
      </c>
      <c r="B33" s="1">
        <v>2</v>
      </c>
      <c r="C33" s="1" t="s">
        <v>3</v>
      </c>
      <c r="D33" s="1">
        <v>4</v>
      </c>
      <c r="E33" s="1">
        <v>9</v>
      </c>
      <c r="F33" s="1">
        <v>17</v>
      </c>
      <c r="G33" s="1">
        <f t="shared" si="0"/>
        <v>32</v>
      </c>
      <c r="H33" s="1">
        <f t="shared" si="1"/>
        <v>8</v>
      </c>
    </row>
    <row r="34" spans="1:8" x14ac:dyDescent="0.35">
      <c r="A34" s="1" t="s">
        <v>24</v>
      </c>
      <c r="B34" s="1" t="s">
        <v>3</v>
      </c>
      <c r="C34" s="1">
        <v>1</v>
      </c>
      <c r="D34" s="1">
        <v>2</v>
      </c>
      <c r="E34" s="1">
        <v>6</v>
      </c>
      <c r="F34" s="1">
        <v>13</v>
      </c>
      <c r="G34" s="1">
        <f t="shared" si="0"/>
        <v>22</v>
      </c>
      <c r="H34" s="1">
        <f t="shared" si="1"/>
        <v>5.5</v>
      </c>
    </row>
    <row r="35" spans="1:8" x14ac:dyDescent="0.35">
      <c r="A35" s="1" t="s">
        <v>30</v>
      </c>
      <c r="B35" s="1">
        <v>2</v>
      </c>
      <c r="C35" s="1">
        <v>1</v>
      </c>
      <c r="D35" s="1">
        <v>3</v>
      </c>
      <c r="E35" s="1">
        <v>2</v>
      </c>
      <c r="F35" s="1">
        <v>2</v>
      </c>
      <c r="G35" s="1">
        <f t="shared" si="0"/>
        <v>10</v>
      </c>
      <c r="H35" s="1">
        <f t="shared" si="1"/>
        <v>2</v>
      </c>
    </row>
    <row r="36" spans="1:8" x14ac:dyDescent="0.35">
      <c r="A36" s="1" t="s">
        <v>18</v>
      </c>
      <c r="B36" s="1" t="s">
        <v>3</v>
      </c>
      <c r="C36" s="1">
        <v>1</v>
      </c>
      <c r="D36" s="1" t="s">
        <v>3</v>
      </c>
      <c r="E36" s="1">
        <v>4</v>
      </c>
      <c r="F36" s="1">
        <v>4</v>
      </c>
      <c r="G36" s="1">
        <f t="shared" si="0"/>
        <v>9</v>
      </c>
      <c r="H36" s="1">
        <f t="shared" si="1"/>
        <v>3</v>
      </c>
    </row>
    <row r="37" spans="1:8" x14ac:dyDescent="0.35">
      <c r="A37" s="1" t="s">
        <v>19</v>
      </c>
      <c r="B37" s="1" t="s">
        <v>3</v>
      </c>
      <c r="C37" s="1">
        <v>1</v>
      </c>
      <c r="D37" s="1" t="s">
        <v>3</v>
      </c>
      <c r="E37" s="1" t="s">
        <v>3</v>
      </c>
      <c r="F37" s="1">
        <v>2</v>
      </c>
      <c r="G37" s="1">
        <f t="shared" si="0"/>
        <v>3</v>
      </c>
      <c r="H37" s="1">
        <f t="shared" si="1"/>
        <v>1.5</v>
      </c>
    </row>
    <row r="38" spans="1:8" x14ac:dyDescent="0.35">
      <c r="A38" s="1"/>
      <c r="B38" s="1"/>
      <c r="C38" s="1"/>
      <c r="D38" s="1"/>
      <c r="E38" s="1"/>
      <c r="F38" s="1"/>
      <c r="G38" s="1">
        <f>SUM(total_startups[[#Headers],[#Data],[Total Startups]])</f>
        <v>104882</v>
      </c>
      <c r="H38" s="1"/>
    </row>
    <row r="40" spans="1:8" x14ac:dyDescent="0.35">
      <c r="A40" t="s">
        <v>107</v>
      </c>
      <c r="B40">
        <f>SUM(startup_by_states!B2:F37)/COUNTA(startup_by_states!A2:A37)</f>
        <v>2913.3888888888887</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Slicer</vt:lpstr>
      <vt:lpstr>Jobs_industrywise</vt:lpstr>
      <vt:lpstr>jobs_by_industry</vt:lpstr>
      <vt:lpstr>jobs_stateswise</vt:lpstr>
      <vt:lpstr>jobs_by_states</vt:lpstr>
      <vt:lpstr>startups</vt:lpstr>
      <vt:lpstr>startup_by_states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 DUA</dc:creator>
  <cp:lastModifiedBy>MAHIMA DUA</cp:lastModifiedBy>
  <dcterms:created xsi:type="dcterms:W3CDTF">2025-04-29T10:26:45Z</dcterms:created>
  <dcterms:modified xsi:type="dcterms:W3CDTF">2025-04-30T08:50:20Z</dcterms:modified>
</cp:coreProperties>
</file>